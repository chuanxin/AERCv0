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ww\AERC_TFVC\Dry\AERC\ExcelSample\"/>
    </mc:Choice>
  </mc:AlternateContent>
  <bookViews>
    <workbookView xWindow="0" yWindow="0" windowWidth="19320" windowHeight="9036" tabRatio="227"/>
  </bookViews>
  <sheets>
    <sheet name="工程預算書" sheetId="3" r:id="rId1"/>
  </sheets>
  <calcPr calcId="152511"/>
</workbook>
</file>

<file path=xl/calcChain.xml><?xml version="1.0" encoding="utf-8"?>
<calcChain xmlns="http://schemas.openxmlformats.org/spreadsheetml/2006/main">
  <c r="G15" i="3" l="1"/>
  <c r="G10" i="3"/>
  <c r="G8" i="3"/>
  <c r="G60" i="3" l="1"/>
  <c r="G63" i="3" s="1"/>
  <c r="G12" i="3" l="1"/>
</calcChain>
</file>

<file path=xl/sharedStrings.xml><?xml version="1.0" encoding="utf-8"?>
<sst xmlns="http://schemas.openxmlformats.org/spreadsheetml/2006/main" count="53" uniqueCount="41">
  <si>
    <t>台北市瑠公農田水利會</t>
    <phoneticPr fontId="4" type="noConversion"/>
  </si>
  <si>
    <t>旱作管路灌溉設施預算書</t>
    <phoneticPr fontId="4" type="noConversion"/>
  </si>
  <si>
    <r>
      <t>共</t>
    </r>
    <r>
      <rPr>
        <sz val="11"/>
        <rFont val="Times New Roman"/>
        <family val="1"/>
      </rPr>
      <t>2</t>
    </r>
    <r>
      <rPr>
        <sz val="11"/>
        <rFont val="新細明體"/>
        <family val="1"/>
        <charset val="136"/>
      </rPr>
      <t>頁第</t>
    </r>
    <r>
      <rPr>
        <sz val="11"/>
        <rFont val="Times New Roman"/>
        <family val="1"/>
      </rPr>
      <t>1</t>
    </r>
    <r>
      <rPr>
        <sz val="11"/>
        <rFont val="新細明體"/>
        <family val="1"/>
        <charset val="136"/>
      </rPr>
      <t>頁</t>
    </r>
    <phoneticPr fontId="4" type="noConversion"/>
  </si>
  <si>
    <r>
      <t>設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施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項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目</t>
    </r>
    <phoneticPr fontId="4" type="noConversion"/>
  </si>
  <si>
    <r>
      <t>說</t>
    </r>
    <r>
      <rPr>
        <sz val="11"/>
        <rFont val="Times New Roman"/>
        <family val="1"/>
      </rPr>
      <t xml:space="preserve">            </t>
    </r>
    <r>
      <rPr>
        <sz val="11"/>
        <rFont val="新細明體"/>
        <family val="1"/>
        <charset val="136"/>
      </rPr>
      <t>明</t>
    </r>
  </si>
  <si>
    <t>單位</t>
  </si>
  <si>
    <r>
      <t>數</t>
    </r>
    <r>
      <rPr>
        <sz val="11"/>
        <rFont val="Times New Roman"/>
        <family val="1"/>
      </rPr>
      <t xml:space="preserve">    </t>
    </r>
    <r>
      <rPr>
        <sz val="11"/>
        <rFont val="新細明體"/>
        <family val="1"/>
        <charset val="136"/>
      </rPr>
      <t>量</t>
    </r>
  </si>
  <si>
    <r>
      <t>單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價</t>
    </r>
  </si>
  <si>
    <r>
      <t>總</t>
    </r>
    <r>
      <rPr>
        <sz val="11"/>
        <rFont val="Times New Roman"/>
        <family val="1"/>
      </rPr>
      <t xml:space="preserve">    </t>
    </r>
    <r>
      <rPr>
        <sz val="11"/>
        <rFont val="新細明體"/>
        <family val="1"/>
        <charset val="136"/>
      </rPr>
      <t>價</t>
    </r>
  </si>
  <si>
    <r>
      <t>附</t>
    </r>
    <r>
      <rPr>
        <sz val="11"/>
        <rFont val="Times New Roman"/>
        <family val="1"/>
      </rPr>
      <t xml:space="preserve">    </t>
    </r>
    <r>
      <rPr>
        <sz val="11"/>
        <rFont val="新細明體"/>
        <family val="1"/>
        <charset val="136"/>
      </rPr>
      <t>註</t>
    </r>
  </si>
  <si>
    <r>
      <t>A.</t>
    </r>
    <r>
      <rPr>
        <sz val="11"/>
        <rFont val="細明體"/>
        <family val="3"/>
        <charset val="136"/>
      </rPr>
      <t>田間管路灌溉設施費</t>
    </r>
    <phoneticPr fontId="4" type="noConversion"/>
  </si>
  <si>
    <r>
      <t xml:space="preserve">   (1)</t>
    </r>
    <r>
      <rPr>
        <sz val="11"/>
        <rFont val="新細明體"/>
        <family val="1"/>
        <charset val="136"/>
      </rPr>
      <t>田間管路材料費</t>
    </r>
    <phoneticPr fontId="4" type="noConversion"/>
  </si>
  <si>
    <t>全</t>
    <phoneticPr fontId="4" type="noConversion"/>
  </si>
  <si>
    <t>組</t>
    <phoneticPr fontId="4" type="noConversion"/>
  </si>
  <si>
    <t>含組裝及零件工料</t>
    <phoneticPr fontId="4" type="noConversion"/>
  </si>
  <si>
    <t>座</t>
    <phoneticPr fontId="4" type="noConversion"/>
  </si>
  <si>
    <t>－</t>
    <phoneticPr fontId="4" type="noConversion"/>
  </si>
  <si>
    <t>B.工作費</t>
    <phoneticPr fontId="4" type="noConversion"/>
  </si>
  <si>
    <t>ha</t>
    <phoneticPr fontId="4" type="noConversion"/>
  </si>
  <si>
    <r>
      <t>C.</t>
    </r>
    <r>
      <rPr>
        <sz val="11"/>
        <rFont val="新細明體"/>
        <family val="1"/>
        <charset val="136"/>
      </rPr>
      <t>包商管理費</t>
    </r>
    <r>
      <rPr>
        <sz val="11"/>
        <rFont val="Times New Roman"/>
        <family val="1"/>
      </rPr>
      <t xml:space="preserve">(A+B)×      </t>
    </r>
    <r>
      <rPr>
        <sz val="11"/>
        <rFont val="新細明體"/>
        <family val="1"/>
        <charset val="136"/>
      </rPr>
      <t>％</t>
    </r>
    <phoneticPr fontId="4" type="noConversion"/>
  </si>
  <si>
    <r>
      <t>R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自行施工</t>
    </r>
    <r>
      <rPr>
        <sz val="11"/>
        <rFont val="Times New Roman"/>
        <family val="1"/>
      </rPr>
      <t xml:space="preserve">            </t>
    </r>
    <r>
      <rPr>
        <sz val="11"/>
        <rFont val="新細明體"/>
        <family val="1"/>
        <charset val="136"/>
      </rPr>
      <t>口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委外施工</t>
    </r>
    <phoneticPr fontId="4" type="noConversion"/>
  </si>
  <si>
    <r>
      <t>D.</t>
    </r>
    <r>
      <rPr>
        <sz val="11"/>
        <rFont val="新細明體"/>
        <family val="1"/>
        <charset val="136"/>
      </rPr>
      <t>設施費總計</t>
    </r>
    <r>
      <rPr>
        <sz val="11"/>
        <rFont val="Times New Roman"/>
        <family val="1"/>
      </rPr>
      <t>(A+B+C)</t>
    </r>
    <phoneticPr fontId="4" type="noConversion"/>
  </si>
  <si>
    <t>E.設施費    分擔</t>
    <phoneticPr fontId="4" type="noConversion"/>
  </si>
  <si>
    <t>農戶配合款</t>
    <phoneticPr fontId="4" type="noConversion"/>
  </si>
  <si>
    <t>水利會補助款</t>
    <phoneticPr fontId="4" type="noConversion"/>
  </si>
  <si>
    <r>
      <t>小</t>
    </r>
    <r>
      <rPr>
        <sz val="11"/>
        <rFont val="Times New Roman"/>
        <family val="1"/>
      </rPr>
      <t xml:space="preserve">           </t>
    </r>
    <r>
      <rPr>
        <sz val="11"/>
        <rFont val="新細明體"/>
        <family val="1"/>
        <charset val="136"/>
      </rPr>
      <t>計</t>
    </r>
    <phoneticPr fontId="4" type="noConversion"/>
  </si>
  <si>
    <r>
      <t>本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設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施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預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算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總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計</t>
    </r>
    <phoneticPr fontId="4" type="noConversion"/>
  </si>
  <si>
    <t>工程預算書</t>
    <phoneticPr fontId="4" type="noConversion"/>
  </si>
  <si>
    <r>
      <t>共</t>
    </r>
    <r>
      <rPr>
        <sz val="11"/>
        <rFont val="Times New Roman"/>
        <family val="1"/>
      </rPr>
      <t>2</t>
    </r>
    <r>
      <rPr>
        <sz val="11"/>
        <rFont val="新細明體"/>
        <family val="1"/>
        <charset val="136"/>
      </rPr>
      <t>頁第</t>
    </r>
    <r>
      <rPr>
        <sz val="11"/>
        <rFont val="Times New Roman"/>
        <family val="1"/>
      </rPr>
      <t>2</t>
    </r>
    <r>
      <rPr>
        <sz val="11"/>
        <rFont val="新細明體"/>
        <family val="1"/>
        <charset val="136"/>
      </rPr>
      <t>頁</t>
    </r>
    <phoneticPr fontId="4" type="noConversion"/>
  </si>
  <si>
    <t>工程名稱：旱作管路灌溉設施工程</t>
    <phoneticPr fontId="4" type="noConversion"/>
  </si>
  <si>
    <r>
      <t>工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程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項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目</t>
    </r>
  </si>
  <si>
    <r>
      <t>小</t>
    </r>
    <r>
      <rPr>
        <sz val="11"/>
        <rFont val="Times New Roman"/>
        <family val="1"/>
      </rPr>
      <t xml:space="preserve">        </t>
    </r>
    <r>
      <rPr>
        <sz val="11"/>
        <rFont val="細明體"/>
        <family val="3"/>
        <charset val="136"/>
      </rPr>
      <t>計</t>
    </r>
    <phoneticPr fontId="4" type="noConversion"/>
  </si>
  <si>
    <r>
      <t>本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工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程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預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算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總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計</t>
    </r>
    <phoneticPr fontId="4" type="noConversion"/>
  </si>
  <si>
    <r>
      <t>≧</t>
    </r>
    <r>
      <rPr>
        <sz val="11"/>
        <rFont val="Times New Roman"/>
        <family val="1"/>
      </rPr>
      <t>(A+B)×20</t>
    </r>
    <r>
      <rPr>
        <sz val="11"/>
        <rFont val="細明體"/>
        <family val="3"/>
        <charset val="136"/>
      </rPr>
      <t>％</t>
    </r>
    <phoneticPr fontId="4" type="noConversion"/>
  </si>
  <si>
    <r>
      <t>(A+B)×80</t>
    </r>
    <r>
      <rPr>
        <sz val="11"/>
        <rFont val="細明體"/>
        <family val="3"/>
        <charset val="136"/>
      </rPr>
      <t>％</t>
    </r>
    <r>
      <rPr>
        <sz val="11"/>
        <rFont val="Times New Roman"/>
        <family val="1"/>
      </rPr>
      <t>+C</t>
    </r>
    <phoneticPr fontId="4" type="noConversion"/>
  </si>
  <si>
    <r>
      <t xml:space="preserve">   (2)</t>
    </r>
    <r>
      <rPr>
        <sz val="11"/>
        <rFont val="新細明體"/>
        <family val="1"/>
        <charset val="136"/>
      </rPr>
      <t>動力設備</t>
    </r>
    <phoneticPr fontId="4" type="noConversion"/>
  </si>
  <si>
    <r>
      <t xml:space="preserve">   (3)</t>
    </r>
    <r>
      <rPr>
        <sz val="11"/>
        <rFont val="新細明體"/>
        <family val="1"/>
        <charset val="136"/>
      </rPr>
      <t>調蓄設施</t>
    </r>
    <phoneticPr fontId="4" type="noConversion"/>
  </si>
  <si>
    <t>施設地號：</t>
    <phoneticPr fontId="4" type="noConversion"/>
  </si>
  <si>
    <r>
      <rPr>
        <sz val="11"/>
        <rFont val="細明體"/>
        <family val="3"/>
        <charset val="136"/>
      </rPr>
      <t>年</t>
    </r>
    <r>
      <rPr>
        <sz val="11"/>
        <rFont val="細明體"/>
        <family val="3"/>
        <charset val="136"/>
      </rPr>
      <t>月</t>
    </r>
    <r>
      <rPr>
        <sz val="11"/>
        <rFont val="Times New Roman"/>
        <family val="1"/>
      </rPr>
      <t xml:space="preserve">  </t>
    </r>
    <r>
      <rPr>
        <sz val="11"/>
        <rFont val="細明體"/>
        <family val="3"/>
        <charset val="136"/>
      </rPr>
      <t>日</t>
    </r>
    <phoneticPr fontId="4" type="noConversion"/>
  </si>
  <si>
    <r>
      <rPr>
        <sz val="11"/>
        <rFont val="細明體"/>
        <family val="3"/>
        <charset val="136"/>
      </rPr>
      <t>年</t>
    </r>
    <r>
      <rPr>
        <sz val="11"/>
        <rFont val="細明體"/>
        <family val="3"/>
        <charset val="136"/>
      </rPr>
      <t>月</t>
    </r>
    <r>
      <rPr>
        <sz val="11"/>
        <rFont val="細明體"/>
        <family val="3"/>
        <charset val="136"/>
      </rPr>
      <t>日</t>
    </r>
    <phoneticPr fontId="4" type="noConversion"/>
  </si>
  <si>
    <r>
      <t>一、田間管路設施費</t>
    </r>
    <r>
      <rPr>
        <sz val="12"/>
        <rFont val="Times New Roman"/>
        <family val="1"/>
      </rPr>
      <t>(</t>
    </r>
    <r>
      <rPr>
        <sz val="12"/>
        <rFont val="細明體"/>
        <family val="3"/>
        <charset val="136"/>
      </rPr>
      <t>地號：</t>
    </r>
    <r>
      <rPr>
        <sz val="12"/>
        <rFont val="Times New Roman"/>
        <family val="1"/>
      </rPr>
      <t>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</si>
</sst>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.0_);[Red]\(#,##0.0\)"/>
    <numFmt numFmtId="177" formatCode="#,##0_);[Red]\(#,##0\)"/>
    <numFmt numFmtId="178" formatCode="#,##0.00_);[Red]\(#,##0.00\)"/>
  </numFmts>
  <fonts count="14" x14ac:knownFonts="1">
    <font>
      <sz val="12"/>
      <name val="Times New Roman"/>
      <family val="1"/>
    </font>
    <font>
      <sz val="12"/>
      <name val="Times New Roman"/>
      <family val="1"/>
    </font>
    <font>
      <sz val="18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0"/>
      <name val="Times New Roman"/>
      <family val="1"/>
    </font>
    <font>
      <sz val="20"/>
      <name val="標楷體"/>
      <family val="4"/>
      <charset val="136"/>
    </font>
    <font>
      <sz val="11"/>
      <name val="新細明體"/>
      <family val="1"/>
      <charset val="136"/>
    </font>
    <font>
      <sz val="11"/>
      <name val="Times New Roman"/>
      <family val="1"/>
    </font>
    <font>
      <sz val="12"/>
      <name val="細明體"/>
      <family val="3"/>
      <charset val="136"/>
    </font>
    <font>
      <sz val="11"/>
      <name val="細明體"/>
      <family val="3"/>
      <charset val="136"/>
    </font>
    <font>
      <sz val="10"/>
      <name val="新細明體"/>
      <family val="1"/>
      <charset val="136"/>
    </font>
    <font>
      <sz val="11"/>
      <name val="Wingdings 2"/>
      <family val="1"/>
      <charset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3" fillId="0" borderId="0"/>
  </cellStyleXfs>
  <cellXfs count="90">
    <xf numFmtId="0" fontId="0" fillId="0" borderId="0" xfId="0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4" fontId="5" fillId="0" borderId="0" xfId="0" applyNumberFormat="1" applyFont="1" applyAlignment="1">
      <alignment vertical="center" wrapText="1"/>
    </xf>
    <xf numFmtId="0" fontId="7" fillId="0" borderId="0" xfId="0" applyFont="1" applyBorder="1" applyAlignment="1">
      <alignment horizontal="distributed" vertical="center"/>
    </xf>
    <xf numFmtId="2" fontId="9" fillId="0" borderId="0" xfId="0" applyNumberFormat="1" applyFont="1" applyAlignment="1">
      <alignment vertical="center"/>
    </xf>
    <xf numFmtId="58" fontId="8" fillId="0" borderId="0" xfId="0" applyNumberFormat="1" applyFont="1" applyBorder="1" applyAlignment="1">
      <alignment horizontal="distributed" vertical="center"/>
    </xf>
    <xf numFmtId="0" fontId="7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Continuous" vertical="center"/>
    </xf>
    <xf numFmtId="4" fontId="7" fillId="0" borderId="3" xfId="0" applyNumberFormat="1" applyFont="1" applyBorder="1" applyAlignment="1">
      <alignment horizontal="centerContinuous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176" fontId="8" fillId="0" borderId="7" xfId="0" applyNumberFormat="1" applyFont="1" applyBorder="1" applyAlignment="1">
      <alignment horizontal="center" vertical="center"/>
    </xf>
    <xf numFmtId="177" fontId="8" fillId="0" borderId="7" xfId="0" applyNumberFormat="1" applyFont="1" applyBorder="1" applyAlignment="1">
      <alignment vertical="center" wrapText="1"/>
    </xf>
    <xf numFmtId="0" fontId="7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177" fontId="10" fillId="0" borderId="7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178" fontId="8" fillId="0" borderId="7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177" fontId="5" fillId="0" borderId="0" xfId="0" applyNumberFormat="1" applyFont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176" fontId="5" fillId="0" borderId="7" xfId="0" applyNumberFormat="1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76" fontId="7" fillId="0" borderId="7" xfId="0" applyNumberFormat="1" applyFont="1" applyBorder="1" applyAlignment="1">
      <alignment vertical="center"/>
    </xf>
    <xf numFmtId="0" fontId="8" fillId="0" borderId="14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 wrapText="1"/>
    </xf>
    <xf numFmtId="176" fontId="8" fillId="0" borderId="7" xfId="1" applyNumberFormat="1" applyFont="1" applyBorder="1" applyAlignment="1">
      <alignment horizontal="right" vertical="center"/>
    </xf>
    <xf numFmtId="0" fontId="7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14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177" fontId="8" fillId="0" borderId="7" xfId="1" applyNumberFormat="1" applyFont="1" applyBorder="1" applyAlignment="1">
      <alignment horizontal="right" vertical="center"/>
    </xf>
    <xf numFmtId="0" fontId="8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10" fontId="8" fillId="0" borderId="7" xfId="0" applyNumberFormat="1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center" vertical="center" wrapText="1"/>
    </xf>
    <xf numFmtId="177" fontId="5" fillId="0" borderId="22" xfId="0" applyNumberFormat="1" applyFont="1" applyBorder="1" applyAlignment="1">
      <alignment vertical="center" wrapText="1"/>
    </xf>
    <xf numFmtId="177" fontId="8" fillId="0" borderId="22" xfId="0" applyNumberFormat="1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8" fillId="0" borderId="9" xfId="0" applyFont="1" applyBorder="1" applyAlignment="1">
      <alignment vertical="center"/>
    </xf>
    <xf numFmtId="177" fontId="8" fillId="0" borderId="7" xfId="0" applyNumberFormat="1" applyFont="1" applyBorder="1" applyAlignment="1">
      <alignment horizontal="center" vertical="center" wrapText="1"/>
    </xf>
    <xf numFmtId="58" fontId="10" fillId="0" borderId="0" xfId="0" applyNumberFormat="1" applyFont="1" applyBorder="1" applyAlignment="1">
      <alignment horizontal="distributed" vertical="center"/>
    </xf>
    <xf numFmtId="0" fontId="8" fillId="0" borderId="7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2" fontId="9" fillId="0" borderId="24" xfId="0" applyNumberFormat="1" applyFont="1" applyBorder="1" applyAlignment="1">
      <alignment horizontal="left" vertical="center"/>
    </xf>
  </cellXfs>
  <cellStyles count="2">
    <cellStyle name="一般" xfId="0" builtinId="0"/>
    <cellStyle name="一般_坪林茶園數量計算表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zoomScaleNormal="100" zoomScaleSheetLayoutView="100" workbookViewId="0">
      <selection activeCell="K40" sqref="K40"/>
    </sheetView>
  </sheetViews>
  <sheetFormatPr defaultColWidth="9" defaultRowHeight="24" customHeight="1" x14ac:dyDescent="0.3"/>
  <cols>
    <col min="1" max="1" width="9.69921875" style="1" customWidth="1"/>
    <col min="2" max="2" width="12.09765625" style="1" customWidth="1"/>
    <col min="3" max="3" width="13.59765625" style="1" customWidth="1"/>
    <col min="4" max="4" width="4.09765625" style="1" customWidth="1"/>
    <col min="5" max="5" width="8.5" style="1" customWidth="1"/>
    <col min="6" max="6" width="9.3984375" style="1" customWidth="1"/>
    <col min="7" max="7" width="11.69921875" style="1" customWidth="1"/>
    <col min="8" max="8" width="16.19921875" style="1" customWidth="1"/>
    <col min="9" max="16384" width="9" style="1"/>
  </cols>
  <sheetData>
    <row r="1" spans="1:10" ht="27" customHeight="1" x14ac:dyDescent="0.3">
      <c r="A1" s="67" t="s">
        <v>0</v>
      </c>
      <c r="B1" s="67"/>
      <c r="C1" s="67"/>
      <c r="D1" s="67"/>
      <c r="E1" s="67"/>
      <c r="F1" s="67"/>
      <c r="G1" s="67"/>
      <c r="H1" s="67"/>
    </row>
    <row r="2" spans="1:10" ht="31.2" customHeight="1" x14ac:dyDescent="0.3">
      <c r="A2" s="68" t="s">
        <v>1</v>
      </c>
      <c r="B2" s="68"/>
      <c r="C2" s="68"/>
      <c r="D2" s="68"/>
      <c r="E2" s="68"/>
      <c r="F2" s="68"/>
      <c r="G2" s="68"/>
      <c r="H2" s="68"/>
    </row>
    <row r="3" spans="1:10" ht="24" customHeight="1" x14ac:dyDescent="0.3">
      <c r="C3" s="2"/>
      <c r="D3" s="2"/>
      <c r="E3" s="3"/>
      <c r="F3" s="3"/>
      <c r="G3" s="3"/>
      <c r="H3" s="4" t="s">
        <v>2</v>
      </c>
    </row>
    <row r="4" spans="1:10" ht="24" customHeight="1" thickBot="1" x14ac:dyDescent="0.35">
      <c r="A4" s="89" t="s">
        <v>37</v>
      </c>
      <c r="B4" s="89"/>
      <c r="C4" s="89"/>
      <c r="D4" s="89"/>
      <c r="E4" s="89"/>
      <c r="F4" s="89"/>
      <c r="G4" s="89"/>
      <c r="H4" s="6" t="s">
        <v>38</v>
      </c>
    </row>
    <row r="5" spans="1:10" ht="24" customHeight="1" x14ac:dyDescent="0.3">
      <c r="A5" s="77" t="s">
        <v>3</v>
      </c>
      <c r="B5" s="78"/>
      <c r="C5" s="7" t="s">
        <v>4</v>
      </c>
      <c r="D5" s="8" t="s">
        <v>5</v>
      </c>
      <c r="E5" s="9" t="s">
        <v>6</v>
      </c>
      <c r="F5" s="10" t="s">
        <v>7</v>
      </c>
      <c r="G5" s="10" t="s">
        <v>8</v>
      </c>
      <c r="H5" s="11" t="s">
        <v>9</v>
      </c>
    </row>
    <row r="6" spans="1:10" ht="24" customHeight="1" x14ac:dyDescent="0.3">
      <c r="A6" s="79" t="s">
        <v>10</v>
      </c>
      <c r="B6" s="84"/>
      <c r="C6" s="12"/>
      <c r="D6" s="12"/>
      <c r="E6" s="13"/>
      <c r="F6" s="14"/>
      <c r="G6" s="14"/>
      <c r="H6" s="15"/>
    </row>
    <row r="7" spans="1:10" ht="24" customHeight="1" x14ac:dyDescent="0.3">
      <c r="A7" s="79" t="s">
        <v>11</v>
      </c>
      <c r="B7" s="80"/>
      <c r="C7" s="16"/>
      <c r="D7" s="17" t="s">
        <v>12</v>
      </c>
      <c r="E7" s="18">
        <v>1</v>
      </c>
      <c r="F7" s="19"/>
      <c r="G7" s="14"/>
      <c r="H7" s="15"/>
    </row>
    <row r="8" spans="1:10" ht="24" customHeight="1" x14ac:dyDescent="0.3">
      <c r="A8" s="79" t="s">
        <v>35</v>
      </c>
      <c r="B8" s="84"/>
      <c r="C8" s="12"/>
      <c r="D8" s="17" t="s">
        <v>13</v>
      </c>
      <c r="E8" s="18">
        <v>1</v>
      </c>
      <c r="F8" s="14"/>
      <c r="G8" s="14">
        <f>E8*F8</f>
        <v>0</v>
      </c>
      <c r="H8" s="15" t="s">
        <v>14</v>
      </c>
    </row>
    <row r="9" spans="1:10" ht="24" customHeight="1" x14ac:dyDescent="0.3">
      <c r="A9" s="79" t="s">
        <v>36</v>
      </c>
      <c r="B9" s="84"/>
      <c r="C9" s="55"/>
      <c r="D9" s="17" t="s">
        <v>15</v>
      </c>
      <c r="E9" s="18"/>
      <c r="F9" s="56" t="s">
        <v>16</v>
      </c>
      <c r="G9" s="14"/>
      <c r="H9" s="15" t="s">
        <v>14</v>
      </c>
    </row>
    <row r="10" spans="1:10" ht="24" customHeight="1" x14ac:dyDescent="0.3">
      <c r="A10" s="87" t="s">
        <v>17</v>
      </c>
      <c r="B10" s="88"/>
      <c r="C10" s="22"/>
      <c r="D10" s="16" t="s">
        <v>18</v>
      </c>
      <c r="E10" s="23"/>
      <c r="F10" s="14">
        <v>48000</v>
      </c>
      <c r="G10" s="14">
        <f>E10*F10</f>
        <v>0</v>
      </c>
      <c r="H10" s="15"/>
    </row>
    <row r="11" spans="1:10" ht="30" x14ac:dyDescent="0.3">
      <c r="A11" s="85" t="s">
        <v>19</v>
      </c>
      <c r="B11" s="86"/>
      <c r="C11" s="12"/>
      <c r="D11" s="17" t="s">
        <v>12</v>
      </c>
      <c r="E11" s="20" t="s">
        <v>16</v>
      </c>
      <c r="F11" s="21" t="s">
        <v>16</v>
      </c>
      <c r="G11" s="21" t="s">
        <v>16</v>
      </c>
      <c r="H11" s="24" t="s">
        <v>20</v>
      </c>
    </row>
    <row r="12" spans="1:10" ht="26.4" customHeight="1" x14ac:dyDescent="0.3">
      <c r="A12" s="79" t="s">
        <v>21</v>
      </c>
      <c r="B12" s="84"/>
      <c r="C12" s="16"/>
      <c r="D12" s="16"/>
      <c r="E12" s="20"/>
      <c r="F12" s="14"/>
      <c r="G12" s="14">
        <f>SUM(G7:G10)</f>
        <v>0</v>
      </c>
      <c r="H12" s="15"/>
      <c r="J12" s="25"/>
    </row>
    <row r="13" spans="1:10" ht="24" customHeight="1" x14ac:dyDescent="0.3">
      <c r="A13" s="81" t="s">
        <v>22</v>
      </c>
      <c r="B13" s="26" t="s">
        <v>23</v>
      </c>
      <c r="C13" s="27" t="s">
        <v>33</v>
      </c>
      <c r="D13" s="22"/>
      <c r="E13" s="28"/>
      <c r="F13" s="14"/>
      <c r="G13" s="14"/>
      <c r="H13" s="15"/>
    </row>
    <row r="14" spans="1:10" ht="24" customHeight="1" x14ac:dyDescent="0.3">
      <c r="A14" s="82"/>
      <c r="B14" s="26" t="s">
        <v>24</v>
      </c>
      <c r="C14" s="29" t="s">
        <v>34</v>
      </c>
      <c r="D14" s="30"/>
      <c r="E14" s="28"/>
      <c r="F14" s="14"/>
      <c r="G14" s="14"/>
      <c r="H14" s="15"/>
    </row>
    <row r="15" spans="1:10" ht="24" customHeight="1" x14ac:dyDescent="0.3">
      <c r="A15" s="83"/>
      <c r="B15" s="26" t="s">
        <v>25</v>
      </c>
      <c r="C15" s="31"/>
      <c r="D15" s="30"/>
      <c r="E15" s="32"/>
      <c r="F15" s="14"/>
      <c r="G15" s="14">
        <f>G13+G14</f>
        <v>0</v>
      </c>
      <c r="H15" s="15"/>
    </row>
    <row r="16" spans="1:10" ht="24" customHeight="1" x14ac:dyDescent="0.3">
      <c r="A16" s="33"/>
      <c r="B16" s="34"/>
      <c r="C16" s="35"/>
      <c r="D16" s="26"/>
      <c r="E16" s="36"/>
      <c r="F16" s="14"/>
      <c r="G16" s="14"/>
      <c r="H16" s="15"/>
    </row>
    <row r="17" spans="1:8" ht="24" customHeight="1" x14ac:dyDescent="0.3">
      <c r="A17" s="33"/>
      <c r="B17" s="34"/>
      <c r="C17" s="37"/>
      <c r="D17" s="27"/>
      <c r="E17" s="36"/>
      <c r="F17" s="14"/>
      <c r="G17" s="14"/>
      <c r="H17" s="15"/>
    </row>
    <row r="18" spans="1:8" ht="24" customHeight="1" x14ac:dyDescent="0.3">
      <c r="A18" s="33"/>
      <c r="B18" s="34"/>
      <c r="C18" s="37"/>
      <c r="D18" s="26"/>
      <c r="E18" s="36"/>
      <c r="F18" s="14"/>
      <c r="G18" s="14"/>
      <c r="H18" s="15"/>
    </row>
    <row r="19" spans="1:8" ht="24" customHeight="1" x14ac:dyDescent="0.3">
      <c r="A19" s="33"/>
      <c r="B19" s="34"/>
      <c r="C19" s="37"/>
      <c r="D19" s="26"/>
      <c r="E19" s="36"/>
      <c r="F19" s="14"/>
      <c r="G19" s="14"/>
      <c r="H19" s="15"/>
    </row>
    <row r="20" spans="1:8" ht="24" customHeight="1" x14ac:dyDescent="0.3">
      <c r="A20" s="33"/>
      <c r="B20" s="34"/>
      <c r="C20" s="38"/>
      <c r="D20" s="27"/>
      <c r="E20" s="36"/>
      <c r="F20" s="14"/>
      <c r="G20" s="14"/>
      <c r="H20" s="15"/>
    </row>
    <row r="21" spans="1:8" ht="24" customHeight="1" x14ac:dyDescent="0.3">
      <c r="A21" s="33"/>
      <c r="B21" s="34"/>
      <c r="C21" s="37"/>
      <c r="D21" s="27"/>
      <c r="E21" s="36"/>
      <c r="F21" s="14"/>
      <c r="G21" s="14"/>
      <c r="H21" s="15"/>
    </row>
    <row r="22" spans="1:8" ht="24" customHeight="1" x14ac:dyDescent="0.3">
      <c r="A22" s="39"/>
      <c r="B22" s="40"/>
      <c r="C22" s="37"/>
      <c r="D22" s="29"/>
      <c r="E22" s="36"/>
      <c r="F22" s="14"/>
      <c r="G22" s="14"/>
      <c r="H22" s="15"/>
    </row>
    <row r="23" spans="1:8" ht="24" customHeight="1" x14ac:dyDescent="0.3">
      <c r="A23" s="33"/>
      <c r="B23" s="34"/>
      <c r="C23" s="38"/>
      <c r="D23" s="27"/>
      <c r="E23" s="36"/>
      <c r="F23" s="14"/>
      <c r="G23" s="14"/>
      <c r="H23" s="15"/>
    </row>
    <row r="24" spans="1:8" ht="24" customHeight="1" x14ac:dyDescent="0.3">
      <c r="A24" s="33"/>
      <c r="B24" s="34"/>
      <c r="C24" s="37"/>
      <c r="D24" s="27"/>
      <c r="E24" s="36"/>
      <c r="F24" s="14"/>
      <c r="G24" s="14"/>
      <c r="H24" s="15"/>
    </row>
    <row r="25" spans="1:8" ht="24" customHeight="1" x14ac:dyDescent="0.3">
      <c r="A25" s="41"/>
      <c r="B25" s="42"/>
      <c r="C25" s="37"/>
      <c r="D25" s="27"/>
      <c r="E25" s="36"/>
      <c r="F25" s="14"/>
      <c r="G25" s="14"/>
      <c r="H25" s="15"/>
    </row>
    <row r="26" spans="1:8" ht="24" customHeight="1" x14ac:dyDescent="0.3">
      <c r="A26" s="41"/>
      <c r="B26" s="42"/>
      <c r="C26" s="37"/>
      <c r="D26" s="27"/>
      <c r="E26" s="36"/>
      <c r="F26" s="14"/>
      <c r="G26" s="14"/>
      <c r="H26" s="15"/>
    </row>
    <row r="27" spans="1:8" ht="24" customHeight="1" x14ac:dyDescent="0.3">
      <c r="A27" s="41"/>
      <c r="B27" s="42"/>
      <c r="C27" s="37"/>
      <c r="D27" s="27"/>
      <c r="E27" s="36"/>
      <c r="F27" s="14"/>
      <c r="G27" s="14"/>
      <c r="H27" s="15"/>
    </row>
    <row r="28" spans="1:8" ht="24" customHeight="1" x14ac:dyDescent="0.3">
      <c r="A28" s="41"/>
      <c r="B28" s="42"/>
      <c r="C28" s="37"/>
      <c r="D28" s="27"/>
      <c r="E28" s="36"/>
      <c r="F28" s="14"/>
      <c r="G28" s="14"/>
      <c r="H28" s="15"/>
    </row>
    <row r="29" spans="1:8" ht="24" customHeight="1" x14ac:dyDescent="0.3">
      <c r="A29" s="33"/>
      <c r="B29" s="34"/>
      <c r="C29" s="37"/>
      <c r="D29" s="27"/>
      <c r="E29" s="36"/>
      <c r="F29" s="14"/>
      <c r="G29" s="14"/>
      <c r="H29" s="15"/>
    </row>
    <row r="30" spans="1:8" ht="24" customHeight="1" thickBot="1" x14ac:dyDescent="0.35">
      <c r="A30" s="62" t="s">
        <v>26</v>
      </c>
      <c r="B30" s="63"/>
      <c r="C30" s="64"/>
      <c r="D30" s="65"/>
      <c r="E30" s="65"/>
      <c r="F30" s="65"/>
      <c r="G30" s="65"/>
      <c r="H30" s="66"/>
    </row>
    <row r="31" spans="1:8" ht="27.6" customHeight="1" x14ac:dyDescent="0.3"/>
    <row r="32" spans="1:8" ht="30.6" customHeight="1" x14ac:dyDescent="0.3"/>
    <row r="33" spans="1:8" s="43" customFormat="1" ht="27.6" customHeight="1" x14ac:dyDescent="0.3">
      <c r="A33" s="67" t="s">
        <v>0</v>
      </c>
      <c r="B33" s="67"/>
      <c r="C33" s="67"/>
      <c r="D33" s="67"/>
      <c r="E33" s="67"/>
      <c r="F33" s="67"/>
      <c r="G33" s="67"/>
      <c r="H33" s="67"/>
    </row>
    <row r="34" spans="1:8" ht="30.6" customHeight="1" x14ac:dyDescent="0.3">
      <c r="A34" s="68" t="s">
        <v>27</v>
      </c>
      <c r="B34" s="68"/>
      <c r="C34" s="68"/>
      <c r="D34" s="68"/>
      <c r="E34" s="68"/>
      <c r="F34" s="68"/>
      <c r="G34" s="68"/>
      <c r="H34" s="68"/>
    </row>
    <row r="35" spans="1:8" ht="24" customHeight="1" x14ac:dyDescent="0.3">
      <c r="C35" s="2"/>
      <c r="D35" s="2"/>
      <c r="E35" s="3"/>
      <c r="F35" s="3"/>
      <c r="G35" s="3"/>
      <c r="H35" s="4" t="s">
        <v>28</v>
      </c>
    </row>
    <row r="36" spans="1:8" ht="24" customHeight="1" thickBot="1" x14ac:dyDescent="0.35">
      <c r="A36" s="5" t="s">
        <v>29</v>
      </c>
      <c r="B36" s="5"/>
      <c r="C36" s="2"/>
      <c r="D36" s="2"/>
      <c r="E36" s="3"/>
      <c r="F36" s="3"/>
      <c r="G36" s="3"/>
      <c r="H36" s="57" t="s">
        <v>39</v>
      </c>
    </row>
    <row r="37" spans="1:8" ht="24" customHeight="1" x14ac:dyDescent="0.3">
      <c r="A37" s="69" t="s">
        <v>30</v>
      </c>
      <c r="B37" s="70"/>
      <c r="C37" s="7" t="s">
        <v>4</v>
      </c>
      <c r="D37" s="8" t="s">
        <v>5</v>
      </c>
      <c r="E37" s="9" t="s">
        <v>6</v>
      </c>
      <c r="F37" s="10" t="s">
        <v>7</v>
      </c>
      <c r="G37" s="10" t="s">
        <v>8</v>
      </c>
      <c r="H37" s="11" t="s">
        <v>9</v>
      </c>
    </row>
    <row r="38" spans="1:8" ht="24" customHeight="1" x14ac:dyDescent="0.3">
      <c r="A38" s="59" t="s">
        <v>40</v>
      </c>
      <c r="B38" s="60"/>
      <c r="C38" s="60"/>
      <c r="D38" s="60"/>
      <c r="E38" s="60"/>
      <c r="F38" s="60"/>
      <c r="G38" s="61"/>
      <c r="H38" s="44"/>
    </row>
    <row r="39" spans="1:8" ht="24" customHeight="1" x14ac:dyDescent="0.3">
      <c r="A39" s="33"/>
      <c r="B39" s="12"/>
      <c r="C39" s="58"/>
      <c r="D39" s="29"/>
      <c r="E39" s="45"/>
      <c r="F39" s="14"/>
      <c r="G39" s="14"/>
      <c r="H39" s="15"/>
    </row>
    <row r="40" spans="1:8" ht="24" customHeight="1" x14ac:dyDescent="0.3">
      <c r="A40" s="33"/>
      <c r="B40" s="12"/>
      <c r="C40" s="46"/>
      <c r="D40" s="27"/>
      <c r="E40" s="45"/>
      <c r="F40" s="14"/>
      <c r="G40" s="14"/>
      <c r="H40" s="15"/>
    </row>
    <row r="41" spans="1:8" ht="24" customHeight="1" x14ac:dyDescent="0.3">
      <c r="A41" s="33"/>
      <c r="B41" s="12"/>
      <c r="C41" s="46"/>
      <c r="D41" s="27"/>
      <c r="E41" s="45"/>
      <c r="F41" s="14"/>
      <c r="G41" s="14"/>
      <c r="H41" s="15"/>
    </row>
    <row r="42" spans="1:8" ht="24" customHeight="1" x14ac:dyDescent="0.3">
      <c r="A42" s="33"/>
      <c r="B42" s="12"/>
      <c r="C42" s="47"/>
      <c r="D42" s="27"/>
      <c r="E42" s="45"/>
      <c r="F42" s="14"/>
      <c r="G42" s="14"/>
      <c r="H42" s="15"/>
    </row>
    <row r="43" spans="1:8" ht="24" customHeight="1" x14ac:dyDescent="0.3">
      <c r="A43" s="33"/>
      <c r="B43" s="12"/>
      <c r="C43" s="48"/>
      <c r="D43" s="27"/>
      <c r="E43" s="45"/>
      <c r="F43" s="14"/>
      <c r="G43" s="14"/>
      <c r="H43" s="15"/>
    </row>
    <row r="44" spans="1:8" ht="24" customHeight="1" x14ac:dyDescent="0.3">
      <c r="A44" s="33"/>
      <c r="B44" s="12"/>
      <c r="C44" s="48"/>
      <c r="D44" s="27"/>
      <c r="E44" s="45"/>
      <c r="F44" s="14"/>
      <c r="G44" s="14"/>
      <c r="H44" s="15"/>
    </row>
    <row r="45" spans="1:8" ht="24" customHeight="1" x14ac:dyDescent="0.3">
      <c r="A45" s="33"/>
      <c r="B45" s="12"/>
      <c r="C45" s="46"/>
      <c r="D45" s="27"/>
      <c r="E45" s="45"/>
      <c r="F45" s="14"/>
      <c r="G45" s="14"/>
      <c r="H45" s="15"/>
    </row>
    <row r="46" spans="1:8" ht="24" customHeight="1" x14ac:dyDescent="0.3">
      <c r="A46" s="33"/>
      <c r="B46" s="12"/>
      <c r="C46" s="49"/>
      <c r="D46" s="27"/>
      <c r="E46" s="45"/>
      <c r="F46" s="14"/>
      <c r="G46" s="14"/>
      <c r="H46" s="15"/>
    </row>
    <row r="47" spans="1:8" ht="24" customHeight="1" x14ac:dyDescent="0.3">
      <c r="A47" s="33"/>
      <c r="B47" s="12"/>
      <c r="C47" s="49"/>
      <c r="D47" s="27"/>
      <c r="E47" s="45"/>
      <c r="F47" s="14"/>
      <c r="G47" s="14"/>
      <c r="H47" s="15"/>
    </row>
    <row r="48" spans="1:8" ht="24" customHeight="1" x14ac:dyDescent="0.3">
      <c r="A48" s="33"/>
      <c r="B48" s="12"/>
      <c r="C48" s="46"/>
      <c r="D48" s="27"/>
      <c r="E48" s="45"/>
      <c r="F48" s="14"/>
      <c r="G48" s="14"/>
      <c r="H48" s="15"/>
    </row>
    <row r="49" spans="1:10" ht="24" customHeight="1" x14ac:dyDescent="0.3">
      <c r="A49" s="33"/>
      <c r="B49" s="12"/>
      <c r="C49" s="46"/>
      <c r="D49" s="29"/>
      <c r="E49" s="45"/>
      <c r="F49" s="14"/>
      <c r="G49" s="14"/>
      <c r="H49" s="15"/>
    </row>
    <row r="50" spans="1:10" ht="24" customHeight="1" x14ac:dyDescent="0.3">
      <c r="A50" s="33"/>
      <c r="B50" s="12"/>
      <c r="C50" s="49"/>
      <c r="D50" s="26"/>
      <c r="E50" s="45"/>
      <c r="F50" s="14"/>
      <c r="G50" s="14"/>
      <c r="H50" s="15"/>
    </row>
    <row r="51" spans="1:10" ht="24" customHeight="1" x14ac:dyDescent="0.3">
      <c r="A51" s="33"/>
      <c r="B51" s="12"/>
      <c r="C51" s="58"/>
      <c r="D51" s="27"/>
      <c r="E51" s="45"/>
      <c r="F51" s="14"/>
      <c r="G51" s="14"/>
      <c r="H51" s="15"/>
    </row>
    <row r="52" spans="1:10" ht="24" customHeight="1" x14ac:dyDescent="0.3">
      <c r="A52" s="33"/>
      <c r="B52" s="16"/>
      <c r="C52" s="58"/>
      <c r="D52" s="27"/>
      <c r="E52" s="45"/>
      <c r="F52" s="14"/>
      <c r="G52" s="14"/>
      <c r="H52" s="15"/>
    </row>
    <row r="53" spans="1:10" ht="24" customHeight="1" x14ac:dyDescent="0.3">
      <c r="A53" s="33"/>
      <c r="B53" s="12"/>
      <c r="C53" s="49"/>
      <c r="D53" s="27"/>
      <c r="E53" s="45"/>
      <c r="F53" s="14"/>
      <c r="G53" s="14"/>
      <c r="H53" s="15"/>
    </row>
    <row r="54" spans="1:10" ht="24" customHeight="1" x14ac:dyDescent="0.3">
      <c r="A54" s="33"/>
      <c r="B54" s="12"/>
      <c r="C54" s="49"/>
      <c r="D54" s="27"/>
      <c r="E54" s="45"/>
      <c r="F54" s="14"/>
      <c r="G54" s="14"/>
      <c r="H54" s="15"/>
    </row>
    <row r="55" spans="1:10" ht="24" customHeight="1" x14ac:dyDescent="0.3">
      <c r="A55" s="33"/>
      <c r="B55" s="12"/>
      <c r="C55" s="49"/>
      <c r="D55" s="27"/>
      <c r="E55" s="45"/>
      <c r="F55" s="14"/>
      <c r="G55" s="14"/>
      <c r="H55" s="15"/>
    </row>
    <row r="56" spans="1:10" ht="24" customHeight="1" x14ac:dyDescent="0.3">
      <c r="A56" s="75"/>
      <c r="B56" s="76"/>
      <c r="C56" s="46"/>
      <c r="D56" s="27"/>
      <c r="E56" s="45"/>
      <c r="F56" s="14"/>
      <c r="G56" s="14"/>
      <c r="H56" s="15"/>
    </row>
    <row r="57" spans="1:10" ht="24" customHeight="1" x14ac:dyDescent="0.3">
      <c r="A57" s="75"/>
      <c r="B57" s="76"/>
      <c r="C57" s="46"/>
      <c r="D57" s="27"/>
      <c r="E57" s="45"/>
      <c r="F57" s="14"/>
      <c r="G57" s="14"/>
      <c r="H57" s="15"/>
    </row>
    <row r="58" spans="1:10" ht="24" customHeight="1" x14ac:dyDescent="0.3">
      <c r="A58" s="75"/>
      <c r="B58" s="76"/>
      <c r="C58" s="49"/>
      <c r="D58" s="27"/>
      <c r="E58" s="45"/>
      <c r="F58" s="14"/>
      <c r="G58" s="14"/>
      <c r="H58" s="15"/>
      <c r="J58" s="25"/>
    </row>
    <row r="59" spans="1:10" ht="24" customHeight="1" x14ac:dyDescent="0.3">
      <c r="A59" s="75"/>
      <c r="B59" s="76"/>
      <c r="C59" s="49"/>
      <c r="D59" s="27"/>
      <c r="E59" s="45"/>
      <c r="F59" s="14"/>
      <c r="G59" s="14"/>
      <c r="H59" s="15"/>
      <c r="I59" s="25"/>
    </row>
    <row r="60" spans="1:10" ht="24" customHeight="1" x14ac:dyDescent="0.3">
      <c r="A60" s="71" t="s">
        <v>31</v>
      </c>
      <c r="B60" s="72"/>
      <c r="C60" s="49"/>
      <c r="D60" s="27"/>
      <c r="E60" s="45"/>
      <c r="F60" s="14"/>
      <c r="G60" s="14">
        <f>SUM(G39:G59)</f>
        <v>0</v>
      </c>
      <c r="H60" s="15"/>
      <c r="I60" s="25"/>
    </row>
    <row r="61" spans="1:10" ht="24" customHeight="1" x14ac:dyDescent="0.3">
      <c r="A61" s="71"/>
      <c r="B61" s="72"/>
      <c r="C61" s="49"/>
      <c r="D61" s="29"/>
      <c r="E61" s="45"/>
      <c r="F61" s="14"/>
      <c r="G61" s="14"/>
      <c r="H61" s="15"/>
    </row>
    <row r="62" spans="1:10" ht="24" customHeight="1" x14ac:dyDescent="0.3">
      <c r="A62" s="71"/>
      <c r="B62" s="72"/>
      <c r="C62" s="49"/>
      <c r="D62" s="29"/>
      <c r="E62" s="45"/>
      <c r="F62" s="14"/>
      <c r="G62" s="14"/>
      <c r="H62" s="15"/>
    </row>
    <row r="63" spans="1:10" ht="24" customHeight="1" thickBot="1" x14ac:dyDescent="0.35">
      <c r="A63" s="73" t="s">
        <v>32</v>
      </c>
      <c r="B63" s="74"/>
      <c r="C63" s="50"/>
      <c r="D63" s="51"/>
      <c r="E63" s="52"/>
      <c r="F63" s="52"/>
      <c r="G63" s="53">
        <f>G60</f>
        <v>0</v>
      </c>
      <c r="H63" s="54"/>
    </row>
  </sheetData>
  <mergeCells count="26">
    <mergeCell ref="A1:H1"/>
    <mergeCell ref="A2:H2"/>
    <mergeCell ref="A5:B5"/>
    <mergeCell ref="A7:B7"/>
    <mergeCell ref="A13:A15"/>
    <mergeCell ref="A8:B8"/>
    <mergeCell ref="A9:B9"/>
    <mergeCell ref="A11:B11"/>
    <mergeCell ref="A10:B10"/>
    <mergeCell ref="A12:B12"/>
    <mergeCell ref="A6:B6"/>
    <mergeCell ref="A4:G4"/>
    <mergeCell ref="A62:B62"/>
    <mergeCell ref="A63:B63"/>
    <mergeCell ref="A56:B56"/>
    <mergeCell ref="A57:B57"/>
    <mergeCell ref="A58:B58"/>
    <mergeCell ref="A59:B59"/>
    <mergeCell ref="A60:B60"/>
    <mergeCell ref="A61:B61"/>
    <mergeCell ref="A38:G38"/>
    <mergeCell ref="A30:B30"/>
    <mergeCell ref="C30:H30"/>
    <mergeCell ref="A33:H33"/>
    <mergeCell ref="A34:H34"/>
    <mergeCell ref="A37:B37"/>
  </mergeCells>
  <phoneticPr fontId="3" type="noConversion"/>
  <printOptions horizontalCentered="1"/>
  <pageMargins left="0.51181102362204722" right="0.51181102362204722" top="0.55000000000000004" bottom="0" header="0.62992125984251968" footer="0.6692913385826772"/>
  <pageSetup paperSize="9" orientation="portrait" horizontalDpi="4294967292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工程預算書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247</cp:lastModifiedBy>
  <dcterms:created xsi:type="dcterms:W3CDTF">2014-04-14T02:22:39Z</dcterms:created>
  <dcterms:modified xsi:type="dcterms:W3CDTF">2014-06-30T02:09:35Z</dcterms:modified>
</cp:coreProperties>
</file>