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管灌\111\協辦事項\"/>
    </mc:Choice>
  </mc:AlternateContent>
  <xr:revisionPtr revIDLastSave="0" documentId="13_ncr:1_{5418F32C-9E8D-4FEF-8CB7-D91B980490D6}" xr6:coauthVersionLast="47" xr6:coauthVersionMax="47" xr10:uidLastSave="{00000000-0000-0000-0000-000000000000}"/>
  <bookViews>
    <workbookView xWindow="30105" yWindow="525" windowWidth="23985" windowHeight="16380" activeTab="2" xr2:uid="{5FF4786E-6CAB-4EA2-9B50-3C39ADB25A11}"/>
  </bookViews>
  <sheets>
    <sheet name="110年原民鄉統補助計表" sheetId="1" r:id="rId1"/>
    <sheet name="110年灌區內外補助統計表" sheetId="2" r:id="rId2"/>
    <sheet name="110年鄉鎮統計表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3" i="3" l="1"/>
  <c r="D243" i="3"/>
  <c r="E243" i="3"/>
  <c r="C44" i="1"/>
  <c r="D44" i="1"/>
  <c r="E44" i="1"/>
</calcChain>
</file>

<file path=xl/sharedStrings.xml><?xml version="1.0" encoding="utf-8"?>
<sst xmlns="http://schemas.openxmlformats.org/spreadsheetml/2006/main" count="583" uniqueCount="267">
  <si>
    <t>宜蘭縣</t>
  </si>
  <si>
    <t>大同鄉</t>
  </si>
  <si>
    <t>南澳鄉</t>
  </si>
  <si>
    <t>花蓮縣</t>
  </si>
  <si>
    <t>玉里鎮</t>
  </si>
  <si>
    <t>光復鄉</t>
  </si>
  <si>
    <t>吉安鄉</t>
  </si>
  <si>
    <t>卓溪鄉</t>
  </si>
  <si>
    <t>花蓮巿</t>
  </si>
  <si>
    <t>富里鄉</t>
  </si>
  <si>
    <t>瑞穗鄉</t>
  </si>
  <si>
    <t>萬榮鄉</t>
  </si>
  <si>
    <t>壽豐鄉</t>
  </si>
  <si>
    <t>鳳林鎮</t>
  </si>
  <si>
    <t>南投縣</t>
  </si>
  <si>
    <t>仁愛鄉</t>
  </si>
  <si>
    <t>信義鄉</t>
  </si>
  <si>
    <t>魚池鄉</t>
  </si>
  <si>
    <t>屏東縣</t>
  </si>
  <si>
    <t>三地門鄉</t>
  </si>
  <si>
    <t>牡丹鄉</t>
  </si>
  <si>
    <t>來義鄉</t>
  </si>
  <si>
    <t>春日鄉</t>
  </si>
  <si>
    <t>泰武鄉</t>
  </si>
  <si>
    <t>滿州鄉</t>
  </si>
  <si>
    <t>苗栗縣</t>
  </si>
  <si>
    <t>南庄鄉</t>
  </si>
  <si>
    <t>泰安鄉</t>
  </si>
  <si>
    <t>獅潭鄉</t>
  </si>
  <si>
    <t>高雄巿</t>
  </si>
  <si>
    <t>那瑪夏區</t>
  </si>
  <si>
    <t>桃源區</t>
  </si>
  <si>
    <t>新竹縣</t>
  </si>
  <si>
    <t>五峰鄉</t>
  </si>
  <si>
    <t>尖石鄉</t>
  </si>
  <si>
    <t>關西鎮</t>
  </si>
  <si>
    <t>嘉義縣</t>
  </si>
  <si>
    <t>阿里山鄉</t>
  </si>
  <si>
    <t>臺中巿</t>
  </si>
  <si>
    <t>太平區</t>
  </si>
  <si>
    <t>臺東縣</t>
  </si>
  <si>
    <t>大武鄉</t>
  </si>
  <si>
    <t>太麻里鄉</t>
  </si>
  <si>
    <t>台東巿</t>
  </si>
  <si>
    <t>成功鎮</t>
  </si>
  <si>
    <t>卑南鄉</t>
  </si>
  <si>
    <t>延平鄉</t>
  </si>
  <si>
    <t>東河鄉</t>
  </si>
  <si>
    <t>金峰鄉</t>
  </si>
  <si>
    <t>海端鄉</t>
  </si>
  <si>
    <t>鹿野鄉</t>
  </si>
  <si>
    <t>關山鎮</t>
  </si>
  <si>
    <t>縣市</t>
    <phoneticPr fontId="1" type="noConversion"/>
  </si>
  <si>
    <t>鄉鎮</t>
    <phoneticPr fontId="1" type="noConversion"/>
  </si>
  <si>
    <t>案件數</t>
    <phoneticPr fontId="1" type="noConversion"/>
  </si>
  <si>
    <t>補助款</t>
    <phoneticPr fontId="1" type="noConversion"/>
  </si>
  <si>
    <t>面積(公頃)</t>
    <phoneticPr fontId="1" type="noConversion"/>
  </si>
  <si>
    <t>總計</t>
  </si>
  <si>
    <t>灌區外</t>
    <phoneticPr fontId="1" type="noConversion"/>
  </si>
  <si>
    <t>灌區內</t>
    <phoneticPr fontId="1" type="noConversion"/>
  </si>
  <si>
    <t>補助金額</t>
    <phoneticPr fontId="1" type="noConversion"/>
  </si>
  <si>
    <t>設施面積(公頃)</t>
    <phoneticPr fontId="1" type="noConversion"/>
  </si>
  <si>
    <t>總計</t>
    <phoneticPr fontId="1" type="noConversion"/>
  </si>
  <si>
    <t>三星鄉</t>
  </si>
  <si>
    <t>冬山鄉</t>
  </si>
  <si>
    <t>宜蘭巿</t>
  </si>
  <si>
    <t>員山鄉</t>
  </si>
  <si>
    <t>頭城鎮</t>
  </si>
  <si>
    <t>礁溪鄉</t>
  </si>
  <si>
    <t>羅東鎮</t>
  </si>
  <si>
    <t>蘇澳鎮</t>
  </si>
  <si>
    <t>中寮鄉</t>
  </si>
  <si>
    <t>水里鄉</t>
  </si>
  <si>
    <t>名間鄉</t>
  </si>
  <si>
    <t>竹山鎮</t>
  </si>
  <si>
    <t>南投巿</t>
  </si>
  <si>
    <t>埔里鎮</t>
  </si>
  <si>
    <t>草屯鎮</t>
  </si>
  <si>
    <t>國姓鄉</t>
  </si>
  <si>
    <t>鹿谷鄉</t>
  </si>
  <si>
    <t>集集鎮</t>
  </si>
  <si>
    <t>九如鄉</t>
  </si>
  <si>
    <t>內埔鄉</t>
  </si>
  <si>
    <t>竹田鄉</t>
  </si>
  <si>
    <t>車城鄉</t>
  </si>
  <si>
    <t>里港鄉</t>
  </si>
  <si>
    <t>佳冬鄉</t>
  </si>
  <si>
    <t>枋山鄉</t>
  </si>
  <si>
    <t>枋寮鄉</t>
  </si>
  <si>
    <t>林邊鄉</t>
  </si>
  <si>
    <t>長治鄉</t>
  </si>
  <si>
    <t>南州鄉</t>
  </si>
  <si>
    <t>屏東巿</t>
  </si>
  <si>
    <t>恆春鎮</t>
  </si>
  <si>
    <t>崁頂鄉</t>
  </si>
  <si>
    <t>高樹鄉</t>
  </si>
  <si>
    <t>新埤鄉</t>
  </si>
  <si>
    <t>新園鄉</t>
  </si>
  <si>
    <t>萬丹鄉</t>
  </si>
  <si>
    <t>萬巒鄉</t>
  </si>
  <si>
    <t>潮州鎮</t>
  </si>
  <si>
    <t>麟洛鄉</t>
  </si>
  <si>
    <t>鹽埔鄉</t>
  </si>
  <si>
    <t>三義鄉</t>
  </si>
  <si>
    <t>三灣鄉</t>
  </si>
  <si>
    <t>大湖鄉</t>
  </si>
  <si>
    <t>公館鄉</t>
  </si>
  <si>
    <t>竹南鎮</t>
  </si>
  <si>
    <t>西湖鄉</t>
  </si>
  <si>
    <t>卓蘭鎮</t>
  </si>
  <si>
    <t>後龍鎮</t>
  </si>
  <si>
    <t>苗栗巿</t>
  </si>
  <si>
    <t>苑裡鎮</t>
  </si>
  <si>
    <t>通霄鎮</t>
  </si>
  <si>
    <t>造橋鄉</t>
  </si>
  <si>
    <t>銅鑼鄉</t>
  </si>
  <si>
    <t>頭份市</t>
  </si>
  <si>
    <t>頭屋鄉</t>
  </si>
  <si>
    <t>桃園市</t>
  </si>
  <si>
    <t>八德區</t>
  </si>
  <si>
    <t>大園區</t>
  </si>
  <si>
    <t>大溪區</t>
  </si>
  <si>
    <t>中壢區</t>
  </si>
  <si>
    <t>平鎮區</t>
  </si>
  <si>
    <t>桃園區</t>
  </si>
  <si>
    <t>新屋區</t>
  </si>
  <si>
    <t>楊梅區</t>
  </si>
  <si>
    <t>龍潭區</t>
  </si>
  <si>
    <t>蘆竹區</t>
  </si>
  <si>
    <t>觀音區</t>
  </si>
  <si>
    <t>大社區</t>
  </si>
  <si>
    <t>大寮區</t>
  </si>
  <si>
    <t>大樹區</t>
  </si>
  <si>
    <t>仁武區</t>
  </si>
  <si>
    <t>內門區</t>
  </si>
  <si>
    <t>六龜區</t>
  </si>
  <si>
    <t>田寮區</t>
  </si>
  <si>
    <t>甲仙區</t>
  </si>
  <si>
    <t>杉林區</t>
  </si>
  <si>
    <t>岡山區</t>
  </si>
  <si>
    <t>阿蓮區</t>
  </si>
  <si>
    <t>美濃區</t>
  </si>
  <si>
    <t>梓官區</t>
  </si>
  <si>
    <t>湖內區</t>
  </si>
  <si>
    <t>路竹區</t>
  </si>
  <si>
    <t>旗山區</t>
  </si>
  <si>
    <t>橋頭區</t>
  </si>
  <si>
    <t>燕巢區</t>
  </si>
  <si>
    <t>雲林縣</t>
  </si>
  <si>
    <t>二崙鄉</t>
  </si>
  <si>
    <t>土庫鎮</t>
  </si>
  <si>
    <t>大埤鄉</t>
  </si>
  <si>
    <t>元長鄉</t>
  </si>
  <si>
    <t>斗六市</t>
  </si>
  <si>
    <t>斗南鎮</t>
  </si>
  <si>
    <t>水林鄉</t>
  </si>
  <si>
    <t>北港鎮</t>
  </si>
  <si>
    <t>古坑鄉</t>
  </si>
  <si>
    <t>台西鄉</t>
  </si>
  <si>
    <t>四湖鄉</t>
  </si>
  <si>
    <t>西螺鎮</t>
  </si>
  <si>
    <t>東勢鄉</t>
  </si>
  <si>
    <t>林內鄉</t>
  </si>
  <si>
    <t>虎尾鎮</t>
  </si>
  <si>
    <t>崙背鄉</t>
  </si>
  <si>
    <t>麥寮鄉</t>
  </si>
  <si>
    <t>莿桐鄉</t>
  </si>
  <si>
    <t>褒忠鄉</t>
  </si>
  <si>
    <t>新北市</t>
  </si>
  <si>
    <t>三芝區</t>
  </si>
  <si>
    <t>三峽區</t>
  </si>
  <si>
    <t>貢寮區</t>
  </si>
  <si>
    <t>雙溪區</t>
  </si>
  <si>
    <t>新竹巿</t>
  </si>
  <si>
    <t>北埔鄉</t>
  </si>
  <si>
    <t>竹東鎮</t>
  </si>
  <si>
    <t>芎林鄉</t>
  </si>
  <si>
    <t>峨眉鄉</t>
  </si>
  <si>
    <t>湖口鄉</t>
  </si>
  <si>
    <t>新埔鎮</t>
  </si>
  <si>
    <t>橫山鄉</t>
  </si>
  <si>
    <t>寶山鄉</t>
  </si>
  <si>
    <t>嘉義巿</t>
  </si>
  <si>
    <t>大林鎮</t>
  </si>
  <si>
    <t>中埔鄉</t>
  </si>
  <si>
    <t>六腳鄉</t>
  </si>
  <si>
    <t>太保巿</t>
  </si>
  <si>
    <t>水上鄉</t>
  </si>
  <si>
    <t>民雄鄉</t>
  </si>
  <si>
    <t>竹崎鄉</t>
  </si>
  <si>
    <t>東石鄉</t>
  </si>
  <si>
    <t>梅山鄉</t>
  </si>
  <si>
    <t>鹿草鄉</t>
  </si>
  <si>
    <t>番路鄉</t>
  </si>
  <si>
    <t>新港鄉</t>
  </si>
  <si>
    <t>溪口鄉</t>
  </si>
  <si>
    <t>義竹鄉</t>
  </si>
  <si>
    <t>彰化縣</t>
  </si>
  <si>
    <t>二水鄉</t>
  </si>
  <si>
    <t>二林鎮</t>
  </si>
  <si>
    <t>大村鄉</t>
  </si>
  <si>
    <t>大城鄉</t>
  </si>
  <si>
    <t>北斗鎮</t>
  </si>
  <si>
    <t>永靖鄉</t>
  </si>
  <si>
    <t>田中鎮</t>
  </si>
  <si>
    <t>田尾鄉</t>
  </si>
  <si>
    <t>竹塘鄉</t>
  </si>
  <si>
    <t>伸港鄉</t>
  </si>
  <si>
    <t>秀水鄉</t>
  </si>
  <si>
    <t>社頭鄉</t>
  </si>
  <si>
    <t>芳苑鄉</t>
  </si>
  <si>
    <t>花壇鄉</t>
  </si>
  <si>
    <t>芬園鄉</t>
  </si>
  <si>
    <t>員林市</t>
  </si>
  <si>
    <t>埔心鄉</t>
  </si>
  <si>
    <t>埔鹽鄉</t>
  </si>
  <si>
    <t>埤頭鄉</t>
  </si>
  <si>
    <t>溪州鄉</t>
  </si>
  <si>
    <t>溪湖鎮</t>
  </si>
  <si>
    <t>福興鄉</t>
  </si>
  <si>
    <t>大里區</t>
  </si>
  <si>
    <t>北屯區</t>
  </si>
  <si>
    <t>外埔區</t>
  </si>
  <si>
    <t>石岡區</t>
  </si>
  <si>
    <t>后里區</t>
  </si>
  <si>
    <t>沙鹿區</t>
  </si>
  <si>
    <t>和平區</t>
  </si>
  <si>
    <t>東勢區</t>
  </si>
  <si>
    <t>南屯區</t>
  </si>
  <si>
    <t>烏日區</t>
  </si>
  <si>
    <t>神岡區</t>
  </si>
  <si>
    <t>清水區</t>
  </si>
  <si>
    <t>新社區</t>
  </si>
  <si>
    <t>潭子區</t>
  </si>
  <si>
    <t>龍井區</t>
  </si>
  <si>
    <t>豐原區</t>
  </si>
  <si>
    <t>霧峰區</t>
  </si>
  <si>
    <t>臺南巿</t>
  </si>
  <si>
    <t>七股區</t>
  </si>
  <si>
    <t>下營區</t>
  </si>
  <si>
    <t>大內區</t>
  </si>
  <si>
    <t>山上區</t>
  </si>
  <si>
    <t>仁德區</t>
  </si>
  <si>
    <t>六甲區</t>
  </si>
  <si>
    <t>北門區</t>
  </si>
  <si>
    <t>左鎮區</t>
  </si>
  <si>
    <t>玉井區</t>
  </si>
  <si>
    <t>白河區</t>
  </si>
  <si>
    <t>安南區</t>
  </si>
  <si>
    <t>西港區</t>
  </si>
  <si>
    <t>佳里區</t>
  </si>
  <si>
    <t>官田區</t>
  </si>
  <si>
    <t>東山區</t>
  </si>
  <si>
    <t>南化區</t>
  </si>
  <si>
    <t>後壁區</t>
  </si>
  <si>
    <t>柳營區</t>
  </si>
  <si>
    <t>麻豆區</t>
  </si>
  <si>
    <t>善化區</t>
  </si>
  <si>
    <t>新化區</t>
  </si>
  <si>
    <t>新巿區</t>
  </si>
  <si>
    <t>新營區</t>
  </si>
  <si>
    <t>楠西區</t>
  </si>
  <si>
    <t>學甲區</t>
  </si>
  <si>
    <t>龍崎區</t>
  </si>
  <si>
    <t>歸仁區</t>
  </si>
  <si>
    <t>關廟區</t>
  </si>
  <si>
    <t>鹽水區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</si>
</sst>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 "/>
    <numFmt numFmtId="177" formatCode="#,##0_ "/>
    <numFmt numFmtId="178" formatCode="#,##0_);[Red]\(#,##0\)"/>
    <numFmt numFmtId="179" formatCode="#,##0.0000_);[Red]\(#,##0.000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47BC-B81E-4626-849F-66970EC3883E}">
  <dimension ref="A1:E44"/>
  <sheetViews>
    <sheetView workbookViewId="0">
      <selection sqref="A1:E1"/>
    </sheetView>
  </sheetViews>
  <sheetFormatPr defaultRowHeight="16.5" x14ac:dyDescent="0.25"/>
  <cols>
    <col min="4" max="4" width="11.625" style="1" bestFit="1" customWidth="1"/>
    <col min="5" max="5" width="11.125" style="2" bestFit="1" customWidth="1"/>
  </cols>
  <sheetData>
    <row r="1" spans="1:5" x14ac:dyDescent="0.25">
      <c r="A1" t="s">
        <v>52</v>
      </c>
      <c r="B1" t="s">
        <v>53</v>
      </c>
      <c r="C1" t="s">
        <v>54</v>
      </c>
      <c r="D1" s="1" t="s">
        <v>56</v>
      </c>
      <c r="E1" s="2" t="s">
        <v>55</v>
      </c>
    </row>
    <row r="2" spans="1:5" x14ac:dyDescent="0.25">
      <c r="A2" t="s">
        <v>0</v>
      </c>
      <c r="B2" t="s">
        <v>1</v>
      </c>
      <c r="C2">
        <v>3</v>
      </c>
      <c r="D2" s="1">
        <v>1.6972970000000001</v>
      </c>
      <c r="E2" s="2">
        <v>303586</v>
      </c>
    </row>
    <row r="3" spans="1:5" x14ac:dyDescent="0.25">
      <c r="A3" t="s">
        <v>0</v>
      </c>
      <c r="B3" t="s">
        <v>2</v>
      </c>
      <c r="C3">
        <v>1</v>
      </c>
      <c r="D3" s="1">
        <v>0.73659799999999997</v>
      </c>
      <c r="E3" s="2">
        <v>112000</v>
      </c>
    </row>
    <row r="4" spans="1:5" x14ac:dyDescent="0.25">
      <c r="A4" t="s">
        <v>3</v>
      </c>
      <c r="B4" t="s">
        <v>4</v>
      </c>
      <c r="C4">
        <v>22</v>
      </c>
      <c r="D4" s="1">
        <v>21.839065999999999</v>
      </c>
      <c r="E4" s="2">
        <v>4497328</v>
      </c>
    </row>
    <row r="5" spans="1:5" x14ac:dyDescent="0.25">
      <c r="A5" t="s">
        <v>3</v>
      </c>
      <c r="B5" t="s">
        <v>5</v>
      </c>
      <c r="C5">
        <v>1</v>
      </c>
      <c r="D5" s="1">
        <v>1</v>
      </c>
      <c r="E5" s="2">
        <v>410071</v>
      </c>
    </row>
    <row r="6" spans="1:5" x14ac:dyDescent="0.25">
      <c r="A6" t="s">
        <v>3</v>
      </c>
      <c r="B6" t="s">
        <v>6</v>
      </c>
      <c r="C6">
        <v>1</v>
      </c>
      <c r="D6" s="1">
        <v>0.58169999999999999</v>
      </c>
      <c r="E6" s="2">
        <v>203139</v>
      </c>
    </row>
    <row r="7" spans="1:5" x14ac:dyDescent="0.25">
      <c r="A7" t="s">
        <v>3</v>
      </c>
      <c r="B7" t="s">
        <v>7</v>
      </c>
      <c r="C7">
        <v>4</v>
      </c>
      <c r="D7" s="1">
        <v>4.3540000000000001</v>
      </c>
      <c r="E7" s="2">
        <v>236981</v>
      </c>
    </row>
    <row r="8" spans="1:5" x14ac:dyDescent="0.25">
      <c r="A8" t="s">
        <v>3</v>
      </c>
      <c r="B8" t="s">
        <v>8</v>
      </c>
      <c r="C8">
        <v>2</v>
      </c>
      <c r="D8" s="1">
        <v>0.63800000000000001</v>
      </c>
      <c r="E8" s="2">
        <v>62590</v>
      </c>
    </row>
    <row r="9" spans="1:5" x14ac:dyDescent="0.25">
      <c r="A9" t="s">
        <v>3</v>
      </c>
      <c r="B9" t="s">
        <v>9</v>
      </c>
      <c r="C9">
        <v>14</v>
      </c>
      <c r="D9" s="1">
        <v>7.3920000000000003</v>
      </c>
      <c r="E9" s="2">
        <v>2777021</v>
      </c>
    </row>
    <row r="10" spans="1:5" x14ac:dyDescent="0.25">
      <c r="A10" t="s">
        <v>3</v>
      </c>
      <c r="B10" t="s">
        <v>10</v>
      </c>
      <c r="C10">
        <v>9</v>
      </c>
      <c r="D10" s="1">
        <v>11.663</v>
      </c>
      <c r="E10" s="2">
        <v>671506</v>
      </c>
    </row>
    <row r="11" spans="1:5" x14ac:dyDescent="0.25">
      <c r="A11" t="s">
        <v>3</v>
      </c>
      <c r="B11" t="s">
        <v>11</v>
      </c>
      <c r="C11">
        <v>9</v>
      </c>
      <c r="D11" s="1">
        <v>13.013999999999999</v>
      </c>
      <c r="E11" s="2">
        <v>772675</v>
      </c>
    </row>
    <row r="12" spans="1:5" x14ac:dyDescent="0.25">
      <c r="A12" t="s">
        <v>3</v>
      </c>
      <c r="B12" t="s">
        <v>12</v>
      </c>
      <c r="C12">
        <v>7</v>
      </c>
      <c r="D12" s="1">
        <v>6.31</v>
      </c>
      <c r="E12" s="2">
        <v>1152386</v>
      </c>
    </row>
    <row r="13" spans="1:5" x14ac:dyDescent="0.25">
      <c r="A13" t="s">
        <v>3</v>
      </c>
      <c r="B13" t="s">
        <v>13</v>
      </c>
      <c r="C13">
        <v>2</v>
      </c>
      <c r="D13" s="1">
        <v>5.9820000000000002</v>
      </c>
      <c r="E13" s="2">
        <v>393086</v>
      </c>
    </row>
    <row r="14" spans="1:5" x14ac:dyDescent="0.25">
      <c r="A14" t="s">
        <v>14</v>
      </c>
      <c r="B14" t="s">
        <v>15</v>
      </c>
      <c r="C14">
        <v>83</v>
      </c>
      <c r="D14" s="1">
        <v>48.9467</v>
      </c>
      <c r="E14" s="2">
        <v>7187018</v>
      </c>
    </row>
    <row r="15" spans="1:5" x14ac:dyDescent="0.25">
      <c r="A15" t="s">
        <v>14</v>
      </c>
      <c r="B15" t="s">
        <v>16</v>
      </c>
      <c r="C15">
        <v>24</v>
      </c>
      <c r="D15" s="1">
        <v>8.1210000000000004</v>
      </c>
      <c r="E15" s="2">
        <v>3187199</v>
      </c>
    </row>
    <row r="16" spans="1:5" x14ac:dyDescent="0.25">
      <c r="A16" t="s">
        <v>14</v>
      </c>
      <c r="B16" t="s">
        <v>17</v>
      </c>
      <c r="C16">
        <v>32</v>
      </c>
      <c r="D16" s="1">
        <v>9.7019000000000002</v>
      </c>
      <c r="E16" s="2">
        <v>2646802</v>
      </c>
    </row>
    <row r="17" spans="1:5" x14ac:dyDescent="0.25">
      <c r="A17" t="s">
        <v>18</v>
      </c>
      <c r="B17" t="s">
        <v>19</v>
      </c>
      <c r="C17">
        <v>1</v>
      </c>
      <c r="D17" s="1">
        <v>0.48</v>
      </c>
      <c r="E17" s="2">
        <v>135375</v>
      </c>
    </row>
    <row r="18" spans="1:5" x14ac:dyDescent="0.25">
      <c r="A18" t="s">
        <v>18</v>
      </c>
      <c r="B18" t="s">
        <v>20</v>
      </c>
      <c r="C18">
        <v>2</v>
      </c>
      <c r="D18" s="1">
        <v>1.0680000000000001</v>
      </c>
      <c r="E18" s="2">
        <v>124865</v>
      </c>
    </row>
    <row r="19" spans="1:5" x14ac:dyDescent="0.25">
      <c r="A19" t="s">
        <v>18</v>
      </c>
      <c r="B19" t="s">
        <v>21</v>
      </c>
      <c r="C19">
        <v>1</v>
      </c>
      <c r="D19" s="1">
        <v>0.60299999999999998</v>
      </c>
      <c r="E19" s="2">
        <v>33953</v>
      </c>
    </row>
    <row r="20" spans="1:5" x14ac:dyDescent="0.25">
      <c r="A20" t="s">
        <v>18</v>
      </c>
      <c r="B20" t="s">
        <v>22</v>
      </c>
      <c r="C20">
        <v>1</v>
      </c>
      <c r="D20" s="1">
        <v>0.25</v>
      </c>
      <c r="E20" s="2">
        <v>70229</v>
      </c>
    </row>
    <row r="21" spans="1:5" x14ac:dyDescent="0.25">
      <c r="A21" t="s">
        <v>18</v>
      </c>
      <c r="B21" t="s">
        <v>23</v>
      </c>
      <c r="C21">
        <v>1</v>
      </c>
      <c r="D21" s="1">
        <v>0.72899999999999998</v>
      </c>
      <c r="E21" s="2">
        <v>57365</v>
      </c>
    </row>
    <row r="22" spans="1:5" x14ac:dyDescent="0.25">
      <c r="A22" t="s">
        <v>18</v>
      </c>
      <c r="B22" t="s">
        <v>24</v>
      </c>
      <c r="C22">
        <v>1</v>
      </c>
      <c r="D22" s="1">
        <v>0.45</v>
      </c>
      <c r="E22" s="2">
        <v>93271</v>
      </c>
    </row>
    <row r="23" spans="1:5" x14ac:dyDescent="0.25">
      <c r="A23" t="s">
        <v>25</v>
      </c>
      <c r="B23" t="s">
        <v>26</v>
      </c>
      <c r="C23">
        <v>10</v>
      </c>
      <c r="D23" s="1">
        <v>2.359</v>
      </c>
      <c r="E23" s="2">
        <v>945468</v>
      </c>
    </row>
    <row r="24" spans="1:5" x14ac:dyDescent="0.25">
      <c r="A24" t="s">
        <v>25</v>
      </c>
      <c r="B24" t="s">
        <v>27</v>
      </c>
      <c r="C24">
        <v>19</v>
      </c>
      <c r="D24" s="1">
        <v>6.9962999999999997</v>
      </c>
      <c r="E24" s="2">
        <v>1703996</v>
      </c>
    </row>
    <row r="25" spans="1:5" x14ac:dyDescent="0.25">
      <c r="A25" t="s">
        <v>25</v>
      </c>
      <c r="B25" t="s">
        <v>28</v>
      </c>
      <c r="C25">
        <v>20</v>
      </c>
      <c r="D25" s="1">
        <v>4.8891999999999998</v>
      </c>
      <c r="E25" s="2">
        <v>1754596</v>
      </c>
    </row>
    <row r="26" spans="1:5" x14ac:dyDescent="0.25">
      <c r="A26" t="s">
        <v>29</v>
      </c>
      <c r="B26" t="s">
        <v>30</v>
      </c>
      <c r="C26">
        <v>29</v>
      </c>
      <c r="D26" s="1">
        <v>11.213900000000001</v>
      </c>
      <c r="E26" s="2">
        <v>1591935</v>
      </c>
    </row>
    <row r="27" spans="1:5" x14ac:dyDescent="0.25">
      <c r="A27" t="s">
        <v>29</v>
      </c>
      <c r="B27" t="s">
        <v>31</v>
      </c>
      <c r="C27">
        <v>33</v>
      </c>
      <c r="D27" s="1">
        <v>14.4526</v>
      </c>
      <c r="E27" s="2">
        <v>1663681</v>
      </c>
    </row>
    <row r="28" spans="1:5" x14ac:dyDescent="0.25">
      <c r="A28" t="s">
        <v>32</v>
      </c>
      <c r="B28" t="s">
        <v>33</v>
      </c>
      <c r="C28">
        <v>4</v>
      </c>
      <c r="D28" s="1">
        <v>1.605</v>
      </c>
      <c r="E28" s="2">
        <v>306223</v>
      </c>
    </row>
    <row r="29" spans="1:5" x14ac:dyDescent="0.25">
      <c r="A29" t="s">
        <v>32</v>
      </c>
      <c r="B29" t="s">
        <v>34</v>
      </c>
      <c r="C29">
        <v>8</v>
      </c>
      <c r="D29" s="1">
        <v>7.2031999999999998</v>
      </c>
      <c r="E29" s="2">
        <v>795040</v>
      </c>
    </row>
    <row r="30" spans="1:5" x14ac:dyDescent="0.25">
      <c r="A30" t="s">
        <v>32</v>
      </c>
      <c r="B30" t="s">
        <v>35</v>
      </c>
      <c r="C30">
        <v>6</v>
      </c>
      <c r="D30" s="1">
        <v>7.7180039999999996</v>
      </c>
      <c r="E30" s="2">
        <v>1081489</v>
      </c>
    </row>
    <row r="31" spans="1:5" x14ac:dyDescent="0.25">
      <c r="A31" t="s">
        <v>36</v>
      </c>
      <c r="B31" t="s">
        <v>37</v>
      </c>
      <c r="C31">
        <v>5</v>
      </c>
      <c r="D31" s="1">
        <v>2.4239999999999999</v>
      </c>
      <c r="E31" s="2">
        <v>524154</v>
      </c>
    </row>
    <row r="32" spans="1:5" x14ac:dyDescent="0.25">
      <c r="A32" t="s">
        <v>38</v>
      </c>
      <c r="B32" t="s">
        <v>39</v>
      </c>
      <c r="C32">
        <v>109</v>
      </c>
      <c r="D32" s="1">
        <v>73.344499999999996</v>
      </c>
      <c r="E32" s="2">
        <v>17376433</v>
      </c>
    </row>
    <row r="33" spans="1:5" x14ac:dyDescent="0.25">
      <c r="A33" t="s">
        <v>40</v>
      </c>
      <c r="B33" t="s">
        <v>41</v>
      </c>
      <c r="C33">
        <v>2</v>
      </c>
      <c r="D33" s="1">
        <v>3.1181000000000001</v>
      </c>
      <c r="E33" s="2">
        <v>363897</v>
      </c>
    </row>
    <row r="34" spans="1:5" x14ac:dyDescent="0.25">
      <c r="A34" t="s">
        <v>40</v>
      </c>
      <c r="B34" t="s">
        <v>42</v>
      </c>
      <c r="C34">
        <v>29</v>
      </c>
      <c r="D34" s="1">
        <v>15.713900000000001</v>
      </c>
      <c r="E34" s="2">
        <v>2793306</v>
      </c>
    </row>
    <row r="35" spans="1:5" x14ac:dyDescent="0.25">
      <c r="A35" t="s">
        <v>40</v>
      </c>
      <c r="B35" t="s">
        <v>43</v>
      </c>
      <c r="C35">
        <v>63</v>
      </c>
      <c r="D35" s="1">
        <v>50.629369699999998</v>
      </c>
      <c r="E35" s="2">
        <v>6678171</v>
      </c>
    </row>
    <row r="36" spans="1:5" x14ac:dyDescent="0.25">
      <c r="A36" t="s">
        <v>40</v>
      </c>
      <c r="B36" t="s">
        <v>44</v>
      </c>
      <c r="C36">
        <v>8</v>
      </c>
      <c r="D36" s="1">
        <v>1.678852</v>
      </c>
      <c r="E36" s="2">
        <v>514351</v>
      </c>
    </row>
    <row r="37" spans="1:5" x14ac:dyDescent="0.25">
      <c r="A37" t="s">
        <v>40</v>
      </c>
      <c r="B37" t="s">
        <v>45</v>
      </c>
      <c r="C37">
        <v>43</v>
      </c>
      <c r="D37" s="1">
        <v>27.313199999999998</v>
      </c>
      <c r="E37" s="2">
        <v>3029588</v>
      </c>
    </row>
    <row r="38" spans="1:5" x14ac:dyDescent="0.25">
      <c r="A38" t="s">
        <v>40</v>
      </c>
      <c r="B38" t="s">
        <v>46</v>
      </c>
      <c r="C38">
        <v>5</v>
      </c>
      <c r="D38" s="1">
        <v>4.2248999999999999</v>
      </c>
      <c r="E38" s="2">
        <v>653924</v>
      </c>
    </row>
    <row r="39" spans="1:5" x14ac:dyDescent="0.25">
      <c r="A39" t="s">
        <v>40</v>
      </c>
      <c r="B39" t="s">
        <v>47</v>
      </c>
      <c r="C39">
        <v>10</v>
      </c>
      <c r="D39" s="1">
        <v>8.5779999999999994</v>
      </c>
      <c r="E39" s="2">
        <v>2391790</v>
      </c>
    </row>
    <row r="40" spans="1:5" x14ac:dyDescent="0.25">
      <c r="A40" t="s">
        <v>40</v>
      </c>
      <c r="B40" t="s">
        <v>48</v>
      </c>
      <c r="C40">
        <v>6</v>
      </c>
      <c r="D40" s="1">
        <v>5.4930000000000003</v>
      </c>
      <c r="E40" s="2">
        <v>614344</v>
      </c>
    </row>
    <row r="41" spans="1:5" x14ac:dyDescent="0.25">
      <c r="A41" t="s">
        <v>40</v>
      </c>
      <c r="B41" t="s">
        <v>49</v>
      </c>
      <c r="C41">
        <v>10</v>
      </c>
      <c r="D41" s="1">
        <v>9.7620000000000005</v>
      </c>
      <c r="E41" s="2">
        <v>1028980</v>
      </c>
    </row>
    <row r="42" spans="1:5" x14ac:dyDescent="0.25">
      <c r="A42" t="s">
        <v>40</v>
      </c>
      <c r="B42" t="s">
        <v>50</v>
      </c>
      <c r="C42">
        <v>26</v>
      </c>
      <c r="D42" s="1">
        <v>21.611499999999999</v>
      </c>
      <c r="E42" s="2">
        <v>2174180</v>
      </c>
    </row>
    <row r="43" spans="1:5" x14ac:dyDescent="0.25">
      <c r="A43" t="s">
        <v>40</v>
      </c>
      <c r="B43" t="s">
        <v>51</v>
      </c>
      <c r="C43">
        <v>5</v>
      </c>
      <c r="D43" s="1">
        <v>4.0643000000000002</v>
      </c>
      <c r="E43" s="2">
        <v>848697</v>
      </c>
    </row>
    <row r="44" spans="1:5" x14ac:dyDescent="0.25">
      <c r="A44" t="s">
        <v>62</v>
      </c>
      <c r="C44">
        <f>SUM(C2:C43)</f>
        <v>671</v>
      </c>
      <c r="D44" s="1">
        <f>SUM(D2:D43)</f>
        <v>429.95008669999999</v>
      </c>
      <c r="E44" s="2">
        <f>SUM(E2:E43)</f>
        <v>73962689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1DC2-C4E0-423D-AB29-6F2BB25F1A86}">
  <dimension ref="A1:D4"/>
  <sheetViews>
    <sheetView workbookViewId="0">
      <selection activeCell="F20" sqref="F20"/>
    </sheetView>
  </sheetViews>
  <sheetFormatPr defaultRowHeight="16.5" x14ac:dyDescent="0.25"/>
  <cols>
    <col min="3" max="3" width="15.25" bestFit="1" customWidth="1"/>
    <col min="4" max="4" width="12.25" bestFit="1" customWidth="1"/>
  </cols>
  <sheetData>
    <row r="1" spans="1:4" x14ac:dyDescent="0.25">
      <c r="B1" t="s">
        <v>54</v>
      </c>
      <c r="C1" t="s">
        <v>61</v>
      </c>
      <c r="D1" t="s">
        <v>60</v>
      </c>
    </row>
    <row r="2" spans="1:4" x14ac:dyDescent="0.25">
      <c r="A2" t="s">
        <v>58</v>
      </c>
      <c r="B2">
        <v>2286</v>
      </c>
      <c r="C2" s="1">
        <v>1323.3594619999972</v>
      </c>
      <c r="D2" s="2">
        <v>213870105</v>
      </c>
    </row>
    <row r="3" spans="1:4" x14ac:dyDescent="0.25">
      <c r="A3" t="s">
        <v>59</v>
      </c>
      <c r="B3">
        <v>1340</v>
      </c>
      <c r="C3" s="1">
        <v>1031.6753279999998</v>
      </c>
      <c r="D3" s="2">
        <v>100461119</v>
      </c>
    </row>
    <row r="4" spans="1:4" x14ac:dyDescent="0.25">
      <c r="A4" t="s">
        <v>57</v>
      </c>
      <c r="B4">
        <v>3626</v>
      </c>
      <c r="C4" s="1">
        <v>2355.0347899999992</v>
      </c>
      <c r="D4" s="2">
        <v>314331224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8AA9-913B-46F8-984C-B2127E13434F}">
  <dimension ref="A1:E243"/>
  <sheetViews>
    <sheetView tabSelected="1" workbookViewId="0">
      <selection activeCell="H230" sqref="H230"/>
    </sheetView>
  </sheetViews>
  <sheetFormatPr defaultRowHeight="16.5" x14ac:dyDescent="0.25"/>
  <cols>
    <col min="4" max="4" width="11.25" style="4" bestFit="1" customWidth="1"/>
    <col min="5" max="5" width="12.375" style="3" bestFit="1" customWidth="1"/>
  </cols>
  <sheetData>
    <row r="1" spans="1:5" x14ac:dyDescent="0.25">
      <c r="A1" t="s">
        <v>52</v>
      </c>
      <c r="B1" t="s">
        <v>53</v>
      </c>
      <c r="C1" t="s">
        <v>54</v>
      </c>
      <c r="D1" s="4" t="s">
        <v>56</v>
      </c>
      <c r="E1" s="3" t="s">
        <v>55</v>
      </c>
    </row>
    <row r="2" spans="1:5" x14ac:dyDescent="0.25">
      <c r="A2" t="s">
        <v>0</v>
      </c>
      <c r="B2" t="s">
        <v>63</v>
      </c>
      <c r="C2">
        <v>4</v>
      </c>
      <c r="D2" s="4">
        <v>1.942515</v>
      </c>
      <c r="E2" s="3">
        <v>434143</v>
      </c>
    </row>
    <row r="3" spans="1:5" x14ac:dyDescent="0.25">
      <c r="A3" t="s">
        <v>0</v>
      </c>
      <c r="B3" t="s">
        <v>1</v>
      </c>
      <c r="C3">
        <v>3</v>
      </c>
      <c r="D3" s="4">
        <v>1.6972970000000001</v>
      </c>
      <c r="E3" s="3">
        <v>303586</v>
      </c>
    </row>
    <row r="4" spans="1:5" x14ac:dyDescent="0.25">
      <c r="A4" t="s">
        <v>0</v>
      </c>
      <c r="B4" t="s">
        <v>64</v>
      </c>
      <c r="C4">
        <v>5</v>
      </c>
      <c r="D4" s="4">
        <v>4.5987613999999999</v>
      </c>
      <c r="E4" s="3">
        <v>379055</v>
      </c>
    </row>
    <row r="5" spans="1:5" x14ac:dyDescent="0.25">
      <c r="A5" t="s">
        <v>0</v>
      </c>
      <c r="B5" t="s">
        <v>65</v>
      </c>
      <c r="C5">
        <v>2</v>
      </c>
      <c r="D5" s="4">
        <v>0.2681</v>
      </c>
      <c r="E5" s="3">
        <v>21181</v>
      </c>
    </row>
    <row r="6" spans="1:5" x14ac:dyDescent="0.25">
      <c r="A6" t="s">
        <v>0</v>
      </c>
      <c r="B6" t="s">
        <v>2</v>
      </c>
      <c r="C6">
        <v>1</v>
      </c>
      <c r="D6" s="4">
        <v>0.73659799999999997</v>
      </c>
      <c r="E6" s="3">
        <v>112000</v>
      </c>
    </row>
    <row r="7" spans="1:5" x14ac:dyDescent="0.25">
      <c r="A7" t="s">
        <v>0</v>
      </c>
      <c r="B7" t="s">
        <v>66</v>
      </c>
      <c r="C7">
        <v>5</v>
      </c>
      <c r="D7" s="4">
        <v>1.0175000000000001</v>
      </c>
      <c r="E7" s="3">
        <v>92658</v>
      </c>
    </row>
    <row r="8" spans="1:5" x14ac:dyDescent="0.25">
      <c r="A8" t="s">
        <v>0</v>
      </c>
      <c r="B8" t="s">
        <v>67</v>
      </c>
      <c r="C8">
        <v>1</v>
      </c>
      <c r="D8" s="4">
        <v>1.2535000000000001</v>
      </c>
      <c r="E8" s="3">
        <v>210418</v>
      </c>
    </row>
    <row r="9" spans="1:5" x14ac:dyDescent="0.25">
      <c r="A9" t="s">
        <v>0</v>
      </c>
      <c r="B9" t="s">
        <v>68</v>
      </c>
      <c r="C9">
        <v>2</v>
      </c>
      <c r="D9" s="4">
        <v>1.384244</v>
      </c>
      <c r="E9" s="3">
        <v>477614</v>
      </c>
    </row>
    <row r="10" spans="1:5" x14ac:dyDescent="0.25">
      <c r="A10" t="s">
        <v>0</v>
      </c>
      <c r="B10" t="s">
        <v>69</v>
      </c>
      <c r="C10">
        <v>1</v>
      </c>
      <c r="D10" s="4">
        <v>0.188</v>
      </c>
      <c r="E10" s="3">
        <v>59948</v>
      </c>
    </row>
    <row r="11" spans="1:5" x14ac:dyDescent="0.25">
      <c r="A11" t="s">
        <v>0</v>
      </c>
      <c r="B11" t="s">
        <v>70</v>
      </c>
      <c r="C11">
        <v>1</v>
      </c>
      <c r="D11" s="4">
        <v>1.00363</v>
      </c>
      <c r="E11" s="3">
        <v>76457</v>
      </c>
    </row>
    <row r="12" spans="1:5" x14ac:dyDescent="0.25">
      <c r="A12" t="s">
        <v>3</v>
      </c>
      <c r="B12" t="s">
        <v>4</v>
      </c>
      <c r="C12">
        <v>22</v>
      </c>
      <c r="D12" s="4">
        <v>21.839065999999999</v>
      </c>
      <c r="E12" s="3">
        <v>4497328</v>
      </c>
    </row>
    <row r="13" spans="1:5" x14ac:dyDescent="0.25">
      <c r="A13" t="s">
        <v>3</v>
      </c>
      <c r="B13" t="s">
        <v>5</v>
      </c>
      <c r="C13">
        <v>1</v>
      </c>
      <c r="D13" s="4">
        <v>1</v>
      </c>
      <c r="E13" s="3">
        <v>410071</v>
      </c>
    </row>
    <row r="14" spans="1:5" x14ac:dyDescent="0.25">
      <c r="A14" t="s">
        <v>3</v>
      </c>
      <c r="B14" t="s">
        <v>6</v>
      </c>
      <c r="C14">
        <v>1</v>
      </c>
      <c r="D14" s="4">
        <v>0.58169999999999999</v>
      </c>
      <c r="E14" s="3">
        <v>203139</v>
      </c>
    </row>
    <row r="15" spans="1:5" x14ac:dyDescent="0.25">
      <c r="A15" t="s">
        <v>3</v>
      </c>
      <c r="B15" t="s">
        <v>7</v>
      </c>
      <c r="C15">
        <v>4</v>
      </c>
      <c r="D15" s="4">
        <v>4.3540000000000001</v>
      </c>
      <c r="E15" s="3">
        <v>236981</v>
      </c>
    </row>
    <row r="16" spans="1:5" x14ac:dyDescent="0.25">
      <c r="A16" t="s">
        <v>3</v>
      </c>
      <c r="B16" t="s">
        <v>8</v>
      </c>
      <c r="C16">
        <v>2</v>
      </c>
      <c r="D16" s="4">
        <v>0.63800000000000001</v>
      </c>
      <c r="E16" s="3">
        <v>62590</v>
      </c>
    </row>
    <row r="17" spans="1:5" x14ac:dyDescent="0.25">
      <c r="A17" t="s">
        <v>3</v>
      </c>
      <c r="B17" t="s">
        <v>9</v>
      </c>
      <c r="C17">
        <v>14</v>
      </c>
      <c r="D17" s="4">
        <v>7.3920000000000003</v>
      </c>
      <c r="E17" s="3">
        <v>2777021</v>
      </c>
    </row>
    <row r="18" spans="1:5" x14ac:dyDescent="0.25">
      <c r="A18" t="s">
        <v>3</v>
      </c>
      <c r="B18" t="s">
        <v>10</v>
      </c>
      <c r="C18">
        <v>9</v>
      </c>
      <c r="D18" s="4">
        <v>11.663</v>
      </c>
      <c r="E18" s="3">
        <v>671506</v>
      </c>
    </row>
    <row r="19" spans="1:5" x14ac:dyDescent="0.25">
      <c r="A19" t="s">
        <v>3</v>
      </c>
      <c r="B19" t="s">
        <v>11</v>
      </c>
      <c r="C19">
        <v>9</v>
      </c>
      <c r="D19" s="4">
        <v>13.013999999999999</v>
      </c>
      <c r="E19" s="3">
        <v>772675</v>
      </c>
    </row>
    <row r="20" spans="1:5" x14ac:dyDescent="0.25">
      <c r="A20" t="s">
        <v>3</v>
      </c>
      <c r="B20" t="s">
        <v>12</v>
      </c>
      <c r="C20">
        <v>7</v>
      </c>
      <c r="D20" s="4">
        <v>6.31</v>
      </c>
      <c r="E20" s="3">
        <v>1152386</v>
      </c>
    </row>
    <row r="21" spans="1:5" x14ac:dyDescent="0.25">
      <c r="A21" t="s">
        <v>3</v>
      </c>
      <c r="B21" t="s">
        <v>13</v>
      </c>
      <c r="C21">
        <v>2</v>
      </c>
      <c r="D21" s="4">
        <v>5.9820000000000002</v>
      </c>
      <c r="E21" s="3">
        <v>393086</v>
      </c>
    </row>
    <row r="22" spans="1:5" x14ac:dyDescent="0.25">
      <c r="A22" t="s">
        <v>14</v>
      </c>
      <c r="B22" t="s">
        <v>71</v>
      </c>
      <c r="C22">
        <v>76</v>
      </c>
      <c r="D22" s="4">
        <v>34.375100000000003</v>
      </c>
      <c r="E22" s="3">
        <v>6205135</v>
      </c>
    </row>
    <row r="23" spans="1:5" x14ac:dyDescent="0.25">
      <c r="A23" t="s">
        <v>14</v>
      </c>
      <c r="B23" t="s">
        <v>15</v>
      </c>
      <c r="C23">
        <v>83</v>
      </c>
      <c r="D23" s="4">
        <v>48.9467</v>
      </c>
      <c r="E23" s="3">
        <v>7187018</v>
      </c>
    </row>
    <row r="24" spans="1:5" x14ac:dyDescent="0.25">
      <c r="A24" t="s">
        <v>14</v>
      </c>
      <c r="B24" t="s">
        <v>72</v>
      </c>
      <c r="C24">
        <v>7</v>
      </c>
      <c r="D24" s="4">
        <v>1.5237000000000001</v>
      </c>
      <c r="E24" s="3">
        <v>423704</v>
      </c>
    </row>
    <row r="25" spans="1:5" x14ac:dyDescent="0.25">
      <c r="A25" t="s">
        <v>14</v>
      </c>
      <c r="B25" t="s">
        <v>73</v>
      </c>
      <c r="C25">
        <v>131</v>
      </c>
      <c r="D25" s="4">
        <v>51.543399999999998</v>
      </c>
      <c r="E25" s="3">
        <v>8234684</v>
      </c>
    </row>
    <row r="26" spans="1:5" x14ac:dyDescent="0.25">
      <c r="A26" t="s">
        <v>14</v>
      </c>
      <c r="B26" t="s">
        <v>74</v>
      </c>
      <c r="C26">
        <v>59</v>
      </c>
      <c r="D26" s="4">
        <v>36.092700000000001</v>
      </c>
      <c r="E26" s="3">
        <v>4772012</v>
      </c>
    </row>
    <row r="27" spans="1:5" x14ac:dyDescent="0.25">
      <c r="A27" t="s">
        <v>14</v>
      </c>
      <c r="B27" t="s">
        <v>16</v>
      </c>
      <c r="C27">
        <v>24</v>
      </c>
      <c r="D27" s="4">
        <v>8.1210000000000004</v>
      </c>
      <c r="E27" s="3">
        <v>3187199</v>
      </c>
    </row>
    <row r="28" spans="1:5" x14ac:dyDescent="0.25">
      <c r="A28" t="s">
        <v>14</v>
      </c>
      <c r="B28" t="s">
        <v>75</v>
      </c>
      <c r="C28">
        <v>23</v>
      </c>
      <c r="D28" s="4">
        <v>11.721</v>
      </c>
      <c r="E28" s="3">
        <v>2429912</v>
      </c>
    </row>
    <row r="29" spans="1:5" x14ac:dyDescent="0.25">
      <c r="A29" t="s">
        <v>14</v>
      </c>
      <c r="B29" t="s">
        <v>76</v>
      </c>
      <c r="C29">
        <v>103</v>
      </c>
      <c r="D29" s="4">
        <v>49.484099999999998</v>
      </c>
      <c r="E29" s="3">
        <v>9697588</v>
      </c>
    </row>
    <row r="30" spans="1:5" x14ac:dyDescent="0.25">
      <c r="A30" t="s">
        <v>14</v>
      </c>
      <c r="B30" t="s">
        <v>77</v>
      </c>
      <c r="C30">
        <v>28</v>
      </c>
      <c r="D30" s="4">
        <v>10.1889</v>
      </c>
      <c r="E30" s="3">
        <v>3175092</v>
      </c>
    </row>
    <row r="31" spans="1:5" x14ac:dyDescent="0.25">
      <c r="A31" t="s">
        <v>14</v>
      </c>
      <c r="B31" t="s">
        <v>78</v>
      </c>
      <c r="C31">
        <v>69</v>
      </c>
      <c r="D31" s="4">
        <v>36.137799999999999</v>
      </c>
      <c r="E31" s="3">
        <v>6187032</v>
      </c>
    </row>
    <row r="32" spans="1:5" x14ac:dyDescent="0.25">
      <c r="A32" t="s">
        <v>14</v>
      </c>
      <c r="B32" t="s">
        <v>17</v>
      </c>
      <c r="C32">
        <v>32</v>
      </c>
      <c r="D32" s="4">
        <v>9.7019000000000002</v>
      </c>
      <c r="E32" s="3">
        <v>2646802</v>
      </c>
    </row>
    <row r="33" spans="1:5" x14ac:dyDescent="0.25">
      <c r="A33" t="s">
        <v>14</v>
      </c>
      <c r="B33" t="s">
        <v>79</v>
      </c>
      <c r="C33">
        <v>24</v>
      </c>
      <c r="D33" s="4">
        <v>8.7929999999999993</v>
      </c>
      <c r="E33" s="3">
        <v>1814519</v>
      </c>
    </row>
    <row r="34" spans="1:5" x14ac:dyDescent="0.25">
      <c r="A34" t="s">
        <v>14</v>
      </c>
      <c r="B34" t="s">
        <v>80</v>
      </c>
      <c r="C34">
        <v>30</v>
      </c>
      <c r="D34" s="4">
        <v>15.4411</v>
      </c>
      <c r="E34" s="3">
        <v>3618948</v>
      </c>
    </row>
    <row r="35" spans="1:5" x14ac:dyDescent="0.25">
      <c r="A35" t="s">
        <v>18</v>
      </c>
      <c r="B35" t="s">
        <v>81</v>
      </c>
      <c r="C35">
        <v>27</v>
      </c>
      <c r="D35" s="4">
        <v>16.521699999999999</v>
      </c>
      <c r="E35" s="3">
        <v>2384656</v>
      </c>
    </row>
    <row r="36" spans="1:5" x14ac:dyDescent="0.25">
      <c r="A36" t="s">
        <v>18</v>
      </c>
      <c r="B36" t="s">
        <v>19</v>
      </c>
      <c r="C36">
        <v>1</v>
      </c>
      <c r="D36" s="4">
        <v>0.48</v>
      </c>
      <c r="E36" s="3">
        <v>135375</v>
      </c>
    </row>
    <row r="37" spans="1:5" x14ac:dyDescent="0.25">
      <c r="A37" t="s">
        <v>18</v>
      </c>
      <c r="B37" t="s">
        <v>82</v>
      </c>
      <c r="C37">
        <v>16</v>
      </c>
      <c r="D37" s="4">
        <v>9.6349999999999998</v>
      </c>
      <c r="E37" s="3">
        <v>858363</v>
      </c>
    </row>
    <row r="38" spans="1:5" x14ac:dyDescent="0.25">
      <c r="A38" t="s">
        <v>18</v>
      </c>
      <c r="B38" t="s">
        <v>83</v>
      </c>
      <c r="C38">
        <v>5</v>
      </c>
      <c r="D38" s="4">
        <v>1.9038999999999999</v>
      </c>
      <c r="E38" s="3">
        <v>207166</v>
      </c>
    </row>
    <row r="39" spans="1:5" x14ac:dyDescent="0.25">
      <c r="A39" t="s">
        <v>18</v>
      </c>
      <c r="B39" t="s">
        <v>20</v>
      </c>
      <c r="C39">
        <v>2</v>
      </c>
      <c r="D39" s="4">
        <v>1.0680000000000001</v>
      </c>
      <c r="E39" s="3">
        <v>124865</v>
      </c>
    </row>
    <row r="40" spans="1:5" x14ac:dyDescent="0.25">
      <c r="A40" t="s">
        <v>18</v>
      </c>
      <c r="B40" t="s">
        <v>84</v>
      </c>
      <c r="C40">
        <v>1</v>
      </c>
      <c r="D40" s="4">
        <v>0.13</v>
      </c>
      <c r="E40" s="3">
        <v>46664</v>
      </c>
    </row>
    <row r="41" spans="1:5" x14ac:dyDescent="0.25">
      <c r="A41" t="s">
        <v>18</v>
      </c>
      <c r="B41" t="s">
        <v>85</v>
      </c>
      <c r="C41">
        <v>22</v>
      </c>
      <c r="D41" s="4">
        <v>8.8890999999999991</v>
      </c>
      <c r="E41" s="3">
        <v>892270</v>
      </c>
    </row>
    <row r="42" spans="1:5" x14ac:dyDescent="0.25">
      <c r="A42" t="s">
        <v>18</v>
      </c>
      <c r="B42" t="s">
        <v>86</v>
      </c>
      <c r="C42">
        <v>13</v>
      </c>
      <c r="D42" s="4">
        <v>3.1932999999999998</v>
      </c>
      <c r="E42" s="3">
        <v>447426</v>
      </c>
    </row>
    <row r="43" spans="1:5" x14ac:dyDescent="0.25">
      <c r="A43" t="s">
        <v>18</v>
      </c>
      <c r="B43" t="s">
        <v>21</v>
      </c>
      <c r="C43">
        <v>1</v>
      </c>
      <c r="D43" s="4">
        <v>0.60299999999999998</v>
      </c>
      <c r="E43" s="3">
        <v>33953</v>
      </c>
    </row>
    <row r="44" spans="1:5" x14ac:dyDescent="0.25">
      <c r="A44" t="s">
        <v>18</v>
      </c>
      <c r="B44" t="s">
        <v>87</v>
      </c>
      <c r="C44">
        <v>2</v>
      </c>
      <c r="D44" s="4">
        <v>0.48580000000000001</v>
      </c>
      <c r="E44" s="3">
        <v>72598</v>
      </c>
    </row>
    <row r="45" spans="1:5" x14ac:dyDescent="0.25">
      <c r="A45" t="s">
        <v>18</v>
      </c>
      <c r="B45" t="s">
        <v>88</v>
      </c>
      <c r="C45">
        <v>27</v>
      </c>
      <c r="D45" s="4">
        <v>12.767200000000001</v>
      </c>
      <c r="E45" s="3">
        <v>1909894</v>
      </c>
    </row>
    <row r="46" spans="1:5" x14ac:dyDescent="0.25">
      <c r="A46" t="s">
        <v>18</v>
      </c>
      <c r="B46" t="s">
        <v>89</v>
      </c>
      <c r="C46">
        <v>3</v>
      </c>
      <c r="D46" s="4">
        <v>0.74860000000000004</v>
      </c>
      <c r="E46" s="3">
        <v>121617</v>
      </c>
    </row>
    <row r="47" spans="1:5" x14ac:dyDescent="0.25">
      <c r="A47" t="s">
        <v>18</v>
      </c>
      <c r="B47" t="s">
        <v>90</v>
      </c>
      <c r="C47">
        <v>11</v>
      </c>
      <c r="D47" s="4">
        <v>6.6456</v>
      </c>
      <c r="E47" s="3">
        <v>621358</v>
      </c>
    </row>
    <row r="48" spans="1:5" x14ac:dyDescent="0.25">
      <c r="A48" t="s">
        <v>18</v>
      </c>
      <c r="B48" t="s">
        <v>91</v>
      </c>
      <c r="C48">
        <v>7</v>
      </c>
      <c r="D48" s="4">
        <v>3.7629000000000001</v>
      </c>
      <c r="E48" s="3">
        <v>379366</v>
      </c>
    </row>
    <row r="49" spans="1:5" x14ac:dyDescent="0.25">
      <c r="A49" t="s">
        <v>18</v>
      </c>
      <c r="B49" t="s">
        <v>92</v>
      </c>
      <c r="C49">
        <v>5</v>
      </c>
      <c r="D49" s="4">
        <v>9.3241999999999994</v>
      </c>
      <c r="E49" s="3">
        <v>374430</v>
      </c>
    </row>
    <row r="50" spans="1:5" x14ac:dyDescent="0.25">
      <c r="A50" t="s">
        <v>18</v>
      </c>
      <c r="B50" t="s">
        <v>93</v>
      </c>
      <c r="C50">
        <v>1</v>
      </c>
      <c r="D50" s="4">
        <v>0.34179999999999999</v>
      </c>
      <c r="E50" s="3">
        <v>70809</v>
      </c>
    </row>
    <row r="51" spans="1:5" x14ac:dyDescent="0.25">
      <c r="A51" t="s">
        <v>18</v>
      </c>
      <c r="B51" t="s">
        <v>22</v>
      </c>
      <c r="C51">
        <v>1</v>
      </c>
      <c r="D51" s="4">
        <v>0.25</v>
      </c>
      <c r="E51" s="3">
        <v>70229</v>
      </c>
    </row>
    <row r="52" spans="1:5" x14ac:dyDescent="0.25">
      <c r="A52" t="s">
        <v>18</v>
      </c>
      <c r="B52" t="s">
        <v>94</v>
      </c>
      <c r="C52">
        <v>1</v>
      </c>
      <c r="D52" s="4">
        <v>0.14380000000000001</v>
      </c>
      <c r="E52" s="3">
        <v>23487</v>
      </c>
    </row>
    <row r="53" spans="1:5" x14ac:dyDescent="0.25">
      <c r="A53" t="s">
        <v>18</v>
      </c>
      <c r="B53" t="s">
        <v>23</v>
      </c>
      <c r="C53">
        <v>1</v>
      </c>
      <c r="D53" s="4">
        <v>0.72899999999999998</v>
      </c>
      <c r="E53" s="3">
        <v>57365</v>
      </c>
    </row>
    <row r="54" spans="1:5" x14ac:dyDescent="0.25">
      <c r="A54" t="s">
        <v>18</v>
      </c>
      <c r="B54" t="s">
        <v>95</v>
      </c>
      <c r="C54">
        <v>87</v>
      </c>
      <c r="D54" s="4">
        <v>46.611899999999999</v>
      </c>
      <c r="E54" s="3">
        <v>4358361</v>
      </c>
    </row>
    <row r="55" spans="1:5" x14ac:dyDescent="0.25">
      <c r="A55" t="s">
        <v>18</v>
      </c>
      <c r="B55" t="s">
        <v>96</v>
      </c>
      <c r="C55">
        <v>29</v>
      </c>
      <c r="D55" s="4">
        <v>34.838299999999997</v>
      </c>
      <c r="E55" s="3">
        <v>2094571</v>
      </c>
    </row>
    <row r="56" spans="1:5" x14ac:dyDescent="0.25">
      <c r="A56" t="s">
        <v>18</v>
      </c>
      <c r="B56" t="s">
        <v>97</v>
      </c>
      <c r="C56">
        <v>2</v>
      </c>
      <c r="D56" s="4">
        <v>0.55259999999999998</v>
      </c>
      <c r="E56" s="3">
        <v>90794</v>
      </c>
    </row>
    <row r="57" spans="1:5" x14ac:dyDescent="0.25">
      <c r="A57" t="s">
        <v>18</v>
      </c>
      <c r="B57" t="s">
        <v>98</v>
      </c>
      <c r="C57">
        <v>4</v>
      </c>
      <c r="D57" s="4">
        <v>1.0808</v>
      </c>
      <c r="E57" s="3">
        <v>134948</v>
      </c>
    </row>
    <row r="58" spans="1:5" x14ac:dyDescent="0.25">
      <c r="A58" t="s">
        <v>18</v>
      </c>
      <c r="B58" t="s">
        <v>99</v>
      </c>
      <c r="C58">
        <v>34</v>
      </c>
      <c r="D58" s="4">
        <v>21.274799999999999</v>
      </c>
      <c r="E58" s="3">
        <v>2918767</v>
      </c>
    </row>
    <row r="59" spans="1:5" x14ac:dyDescent="0.25">
      <c r="A59" t="s">
        <v>18</v>
      </c>
      <c r="B59" t="s">
        <v>24</v>
      </c>
      <c r="C59">
        <v>1</v>
      </c>
      <c r="D59" s="4">
        <v>0.45</v>
      </c>
      <c r="E59" s="3">
        <v>93271</v>
      </c>
    </row>
    <row r="60" spans="1:5" x14ac:dyDescent="0.25">
      <c r="A60" t="s">
        <v>18</v>
      </c>
      <c r="B60" t="s">
        <v>100</v>
      </c>
      <c r="C60">
        <v>13</v>
      </c>
      <c r="D60" s="4">
        <v>45.654699999999998</v>
      </c>
      <c r="E60" s="3">
        <v>2154130</v>
      </c>
    </row>
    <row r="61" spans="1:5" x14ac:dyDescent="0.25">
      <c r="A61" t="s">
        <v>18</v>
      </c>
      <c r="B61" t="s">
        <v>101</v>
      </c>
      <c r="C61">
        <v>5</v>
      </c>
      <c r="D61" s="4">
        <v>1.8519000000000001</v>
      </c>
      <c r="E61" s="3">
        <v>270129</v>
      </c>
    </row>
    <row r="62" spans="1:5" x14ac:dyDescent="0.25">
      <c r="A62" t="s">
        <v>18</v>
      </c>
      <c r="B62" t="s">
        <v>102</v>
      </c>
      <c r="C62">
        <v>66</v>
      </c>
      <c r="D62" s="4">
        <v>35.624600000000001</v>
      </c>
      <c r="E62" s="3">
        <v>4195491</v>
      </c>
    </row>
    <row r="63" spans="1:5" x14ac:dyDescent="0.25">
      <c r="A63" t="s">
        <v>25</v>
      </c>
      <c r="B63" t="s">
        <v>103</v>
      </c>
      <c r="C63">
        <v>7</v>
      </c>
      <c r="D63" s="4">
        <v>2.9285999999999999</v>
      </c>
      <c r="E63" s="3">
        <v>1152345</v>
      </c>
    </row>
    <row r="64" spans="1:5" x14ac:dyDescent="0.25">
      <c r="A64" t="s">
        <v>25</v>
      </c>
      <c r="B64" t="s">
        <v>104</v>
      </c>
      <c r="C64">
        <v>8</v>
      </c>
      <c r="D64" s="4">
        <v>3.9710000000000001</v>
      </c>
      <c r="E64" s="3">
        <v>912154</v>
      </c>
    </row>
    <row r="65" spans="1:5" x14ac:dyDescent="0.25">
      <c r="A65" t="s">
        <v>25</v>
      </c>
      <c r="B65" t="s">
        <v>105</v>
      </c>
      <c r="C65">
        <v>75</v>
      </c>
      <c r="D65" s="4">
        <v>28.175999999999998</v>
      </c>
      <c r="E65" s="3">
        <v>7625476</v>
      </c>
    </row>
    <row r="66" spans="1:5" x14ac:dyDescent="0.25">
      <c r="A66" t="s">
        <v>25</v>
      </c>
      <c r="B66" t="s">
        <v>106</v>
      </c>
      <c r="C66">
        <v>32</v>
      </c>
      <c r="D66" s="4">
        <v>7.3559999999999999</v>
      </c>
      <c r="E66" s="3">
        <v>3736108</v>
      </c>
    </row>
    <row r="67" spans="1:5" x14ac:dyDescent="0.25">
      <c r="A67" t="s">
        <v>25</v>
      </c>
      <c r="B67" t="s">
        <v>107</v>
      </c>
      <c r="C67">
        <v>2</v>
      </c>
      <c r="D67" s="4">
        <v>0.56000000000000005</v>
      </c>
      <c r="E67" s="3">
        <v>201950</v>
      </c>
    </row>
    <row r="68" spans="1:5" x14ac:dyDescent="0.25">
      <c r="A68" t="s">
        <v>25</v>
      </c>
      <c r="B68" t="s">
        <v>108</v>
      </c>
      <c r="C68">
        <v>33</v>
      </c>
      <c r="D68" s="4">
        <v>12.706</v>
      </c>
      <c r="E68" s="3">
        <v>4106721</v>
      </c>
    </row>
    <row r="69" spans="1:5" x14ac:dyDescent="0.25">
      <c r="A69" t="s">
        <v>25</v>
      </c>
      <c r="B69" t="s">
        <v>109</v>
      </c>
      <c r="C69">
        <v>68</v>
      </c>
      <c r="D69" s="4">
        <v>24.058</v>
      </c>
      <c r="E69" s="3">
        <v>5886447</v>
      </c>
    </row>
    <row r="70" spans="1:5" x14ac:dyDescent="0.25">
      <c r="A70" t="s">
        <v>25</v>
      </c>
      <c r="B70" t="s">
        <v>26</v>
      </c>
      <c r="C70">
        <v>10</v>
      </c>
      <c r="D70" s="4">
        <v>2.359</v>
      </c>
      <c r="E70" s="3">
        <v>945468</v>
      </c>
    </row>
    <row r="71" spans="1:5" x14ac:dyDescent="0.25">
      <c r="A71" t="s">
        <v>25</v>
      </c>
      <c r="B71" t="s">
        <v>110</v>
      </c>
      <c r="C71">
        <v>5</v>
      </c>
      <c r="D71" s="4">
        <v>1.8653999999999999</v>
      </c>
      <c r="E71" s="3">
        <v>362078</v>
      </c>
    </row>
    <row r="72" spans="1:5" x14ac:dyDescent="0.25">
      <c r="A72" t="s">
        <v>25</v>
      </c>
      <c r="B72" t="s">
        <v>111</v>
      </c>
      <c r="C72">
        <v>22</v>
      </c>
      <c r="D72" s="4">
        <v>8.4603000000000002</v>
      </c>
      <c r="E72" s="3">
        <v>2932529</v>
      </c>
    </row>
    <row r="73" spans="1:5" x14ac:dyDescent="0.25">
      <c r="A73" t="s">
        <v>25</v>
      </c>
      <c r="B73" t="s">
        <v>112</v>
      </c>
      <c r="C73">
        <v>4</v>
      </c>
      <c r="D73" s="4">
        <v>1.7561</v>
      </c>
      <c r="E73" s="3">
        <v>638057</v>
      </c>
    </row>
    <row r="74" spans="1:5" x14ac:dyDescent="0.25">
      <c r="A74" t="s">
        <v>25</v>
      </c>
      <c r="B74" t="s">
        <v>27</v>
      </c>
      <c r="C74">
        <v>19</v>
      </c>
      <c r="D74" s="4">
        <v>6.9962999999999997</v>
      </c>
      <c r="E74" s="3">
        <v>1703996</v>
      </c>
    </row>
    <row r="75" spans="1:5" x14ac:dyDescent="0.25">
      <c r="A75" t="s">
        <v>25</v>
      </c>
      <c r="B75" t="s">
        <v>113</v>
      </c>
      <c r="C75">
        <v>14</v>
      </c>
      <c r="D75" s="4">
        <v>5.2369000000000003</v>
      </c>
      <c r="E75" s="3">
        <v>1659038</v>
      </c>
    </row>
    <row r="76" spans="1:5" x14ac:dyDescent="0.25">
      <c r="A76" t="s">
        <v>25</v>
      </c>
      <c r="B76" t="s">
        <v>114</v>
      </c>
      <c r="C76">
        <v>2</v>
      </c>
      <c r="D76" s="4">
        <v>0.70520000000000005</v>
      </c>
      <c r="E76" s="3">
        <v>312000</v>
      </c>
    </row>
    <row r="77" spans="1:5" x14ac:dyDescent="0.25">
      <c r="A77" t="s">
        <v>25</v>
      </c>
      <c r="B77" t="s">
        <v>28</v>
      </c>
      <c r="C77">
        <v>20</v>
      </c>
      <c r="D77" s="4">
        <v>4.8891999999999998</v>
      </c>
      <c r="E77" s="3">
        <v>1754596</v>
      </c>
    </row>
    <row r="78" spans="1:5" x14ac:dyDescent="0.25">
      <c r="A78" t="s">
        <v>25</v>
      </c>
      <c r="B78" t="s">
        <v>115</v>
      </c>
      <c r="C78">
        <v>104</v>
      </c>
      <c r="D78" s="4">
        <v>24.395</v>
      </c>
      <c r="E78" s="3">
        <v>10157608</v>
      </c>
    </row>
    <row r="79" spans="1:5" x14ac:dyDescent="0.25">
      <c r="A79" t="s">
        <v>25</v>
      </c>
      <c r="B79" t="s">
        <v>116</v>
      </c>
      <c r="C79">
        <v>5</v>
      </c>
      <c r="D79" s="4">
        <v>1.6182000000000001</v>
      </c>
      <c r="E79" s="3">
        <v>213650</v>
      </c>
    </row>
    <row r="80" spans="1:5" x14ac:dyDescent="0.25">
      <c r="A80" t="s">
        <v>25</v>
      </c>
      <c r="B80" t="s">
        <v>117</v>
      </c>
      <c r="C80">
        <v>15</v>
      </c>
      <c r="D80" s="4">
        <v>3.2734000000000001</v>
      </c>
      <c r="E80" s="3">
        <v>1176000</v>
      </c>
    </row>
    <row r="81" spans="1:5" x14ac:dyDescent="0.25">
      <c r="A81" t="s">
        <v>118</v>
      </c>
      <c r="B81" t="s">
        <v>119</v>
      </c>
      <c r="C81">
        <v>2</v>
      </c>
      <c r="D81" s="4">
        <v>1.1499999999999999</v>
      </c>
      <c r="E81" s="3">
        <v>93836</v>
      </c>
    </row>
    <row r="82" spans="1:5" x14ac:dyDescent="0.25">
      <c r="A82" t="s">
        <v>118</v>
      </c>
      <c r="B82" t="s">
        <v>120</v>
      </c>
      <c r="C82">
        <v>3</v>
      </c>
      <c r="D82" s="4">
        <v>1.056</v>
      </c>
      <c r="E82" s="3">
        <v>227374</v>
      </c>
    </row>
    <row r="83" spans="1:5" x14ac:dyDescent="0.25">
      <c r="A83" t="s">
        <v>118</v>
      </c>
      <c r="B83" t="s">
        <v>121</v>
      </c>
      <c r="C83">
        <v>3</v>
      </c>
      <c r="D83" s="4">
        <v>5.5583999999999998</v>
      </c>
      <c r="E83" s="3">
        <v>638381</v>
      </c>
    </row>
    <row r="84" spans="1:5" x14ac:dyDescent="0.25">
      <c r="A84" t="s">
        <v>118</v>
      </c>
      <c r="B84" t="s">
        <v>122</v>
      </c>
      <c r="C84">
        <v>3</v>
      </c>
      <c r="D84" s="4">
        <v>0.90690000000000004</v>
      </c>
      <c r="E84" s="3">
        <v>344353</v>
      </c>
    </row>
    <row r="85" spans="1:5" x14ac:dyDescent="0.25">
      <c r="A85" t="s">
        <v>118</v>
      </c>
      <c r="B85" t="s">
        <v>123</v>
      </c>
      <c r="C85">
        <v>2</v>
      </c>
      <c r="D85" s="4">
        <v>0.48530000000000001</v>
      </c>
      <c r="E85" s="3">
        <v>120068</v>
      </c>
    </row>
    <row r="86" spans="1:5" x14ac:dyDescent="0.25">
      <c r="A86" t="s">
        <v>118</v>
      </c>
      <c r="B86" t="s">
        <v>124</v>
      </c>
      <c r="C86">
        <v>5</v>
      </c>
      <c r="D86" s="4">
        <v>4.0869999999999997</v>
      </c>
      <c r="E86" s="3">
        <v>1472721</v>
      </c>
    </row>
    <row r="87" spans="1:5" x14ac:dyDescent="0.25">
      <c r="A87" t="s">
        <v>118</v>
      </c>
      <c r="B87" t="s">
        <v>125</v>
      </c>
      <c r="C87">
        <v>1</v>
      </c>
      <c r="D87" s="4">
        <v>0.35</v>
      </c>
      <c r="E87" s="3">
        <v>98309</v>
      </c>
    </row>
    <row r="88" spans="1:5" x14ac:dyDescent="0.25">
      <c r="A88" t="s">
        <v>118</v>
      </c>
      <c r="B88" t="s">
        <v>126</v>
      </c>
      <c r="C88">
        <v>5</v>
      </c>
      <c r="D88" s="4">
        <v>2.0059999999999998</v>
      </c>
      <c r="E88" s="3">
        <v>564960</v>
      </c>
    </row>
    <row r="89" spans="1:5" x14ac:dyDescent="0.25">
      <c r="A89" t="s">
        <v>118</v>
      </c>
      <c r="B89" t="s">
        <v>127</v>
      </c>
      <c r="C89">
        <v>14</v>
      </c>
      <c r="D89" s="4">
        <v>7.6109999999999998</v>
      </c>
      <c r="E89" s="3">
        <v>2214868</v>
      </c>
    </row>
    <row r="90" spans="1:5" x14ac:dyDescent="0.25">
      <c r="A90" t="s">
        <v>118</v>
      </c>
      <c r="B90" t="s">
        <v>128</v>
      </c>
      <c r="C90">
        <v>8</v>
      </c>
      <c r="D90" s="4">
        <v>2.409964</v>
      </c>
      <c r="E90" s="3">
        <v>552610</v>
      </c>
    </row>
    <row r="91" spans="1:5" x14ac:dyDescent="0.25">
      <c r="A91" t="s">
        <v>118</v>
      </c>
      <c r="B91" t="s">
        <v>129</v>
      </c>
      <c r="C91">
        <v>4</v>
      </c>
      <c r="D91" s="4">
        <v>1.7192000000000001</v>
      </c>
      <c r="E91" s="3">
        <v>553730</v>
      </c>
    </row>
    <row r="92" spans="1:5" x14ac:dyDescent="0.25">
      <c r="A92" t="s">
        <v>29</v>
      </c>
      <c r="B92" t="s">
        <v>130</v>
      </c>
      <c r="C92">
        <v>1</v>
      </c>
      <c r="D92" s="4">
        <v>0.36</v>
      </c>
      <c r="E92" s="3">
        <v>25000</v>
      </c>
    </row>
    <row r="93" spans="1:5" x14ac:dyDescent="0.25">
      <c r="A93" t="s">
        <v>29</v>
      </c>
      <c r="B93" t="s">
        <v>131</v>
      </c>
      <c r="C93">
        <v>1</v>
      </c>
      <c r="D93" s="4">
        <v>0.1</v>
      </c>
      <c r="E93" s="3">
        <v>84405</v>
      </c>
    </row>
    <row r="94" spans="1:5" x14ac:dyDescent="0.25">
      <c r="A94" t="s">
        <v>29</v>
      </c>
      <c r="B94" t="s">
        <v>132</v>
      </c>
      <c r="C94">
        <v>2</v>
      </c>
      <c r="D94" s="4">
        <v>0.33</v>
      </c>
      <c r="E94" s="3">
        <v>24984</v>
      </c>
    </row>
    <row r="95" spans="1:5" x14ac:dyDescent="0.25">
      <c r="A95" t="s">
        <v>29</v>
      </c>
      <c r="B95" t="s">
        <v>133</v>
      </c>
      <c r="C95">
        <v>1</v>
      </c>
      <c r="D95" s="4">
        <v>3.1</v>
      </c>
      <c r="E95" s="3">
        <v>163039</v>
      </c>
    </row>
    <row r="96" spans="1:5" x14ac:dyDescent="0.25">
      <c r="A96" t="s">
        <v>29</v>
      </c>
      <c r="B96" t="s">
        <v>134</v>
      </c>
      <c r="C96">
        <v>21</v>
      </c>
      <c r="D96" s="4">
        <v>4.2327000000000004</v>
      </c>
      <c r="E96" s="3">
        <v>984000</v>
      </c>
    </row>
    <row r="97" spans="1:5" x14ac:dyDescent="0.25">
      <c r="A97" t="s">
        <v>29</v>
      </c>
      <c r="B97" t="s">
        <v>135</v>
      </c>
      <c r="C97">
        <v>10</v>
      </c>
      <c r="D97" s="4">
        <v>4.5199999999999996</v>
      </c>
      <c r="E97" s="3">
        <v>472732</v>
      </c>
    </row>
    <row r="98" spans="1:5" x14ac:dyDescent="0.25">
      <c r="A98" t="s">
        <v>29</v>
      </c>
      <c r="B98" t="s">
        <v>136</v>
      </c>
      <c r="C98">
        <v>1</v>
      </c>
      <c r="D98" s="4">
        <v>0.27</v>
      </c>
      <c r="E98" s="3">
        <v>164000</v>
      </c>
    </row>
    <row r="99" spans="1:5" x14ac:dyDescent="0.25">
      <c r="A99" t="s">
        <v>29</v>
      </c>
      <c r="B99" t="s">
        <v>137</v>
      </c>
      <c r="C99">
        <v>9</v>
      </c>
      <c r="D99" s="4">
        <v>1.8849</v>
      </c>
      <c r="E99" s="3">
        <v>393953</v>
      </c>
    </row>
    <row r="100" spans="1:5" x14ac:dyDescent="0.25">
      <c r="A100" t="s">
        <v>29</v>
      </c>
      <c r="B100" t="s">
        <v>138</v>
      </c>
      <c r="C100">
        <v>6</v>
      </c>
      <c r="D100" s="4">
        <v>5.24</v>
      </c>
      <c r="E100" s="3">
        <v>468794</v>
      </c>
    </row>
    <row r="101" spans="1:5" x14ac:dyDescent="0.25">
      <c r="A101" t="s">
        <v>29</v>
      </c>
      <c r="B101" t="s">
        <v>30</v>
      </c>
      <c r="C101">
        <v>29</v>
      </c>
      <c r="D101" s="4">
        <v>11.213900000000001</v>
      </c>
      <c r="E101" s="3">
        <v>1591935</v>
      </c>
    </row>
    <row r="102" spans="1:5" x14ac:dyDescent="0.25">
      <c r="A102" t="s">
        <v>29</v>
      </c>
      <c r="B102" t="s">
        <v>139</v>
      </c>
      <c r="C102">
        <v>3</v>
      </c>
      <c r="D102" s="4">
        <v>5.89</v>
      </c>
      <c r="E102" s="3">
        <v>215780</v>
      </c>
    </row>
    <row r="103" spans="1:5" x14ac:dyDescent="0.25">
      <c r="A103" t="s">
        <v>29</v>
      </c>
      <c r="B103" t="s">
        <v>140</v>
      </c>
      <c r="C103">
        <v>19</v>
      </c>
      <c r="D103" s="4">
        <v>34.69</v>
      </c>
      <c r="E103" s="3">
        <v>1460013</v>
      </c>
    </row>
    <row r="104" spans="1:5" x14ac:dyDescent="0.25">
      <c r="A104" t="s">
        <v>29</v>
      </c>
      <c r="B104" t="s">
        <v>141</v>
      </c>
      <c r="C104">
        <v>7</v>
      </c>
      <c r="D104" s="4">
        <v>2.0224000000000002</v>
      </c>
      <c r="E104" s="3">
        <v>211855</v>
      </c>
    </row>
    <row r="105" spans="1:5" x14ac:dyDescent="0.25">
      <c r="A105" t="s">
        <v>29</v>
      </c>
      <c r="B105" t="s">
        <v>31</v>
      </c>
      <c r="C105">
        <v>33</v>
      </c>
      <c r="D105" s="4">
        <v>14.4526</v>
      </c>
      <c r="E105" s="3">
        <v>1663681</v>
      </c>
    </row>
    <row r="106" spans="1:5" x14ac:dyDescent="0.25">
      <c r="A106" t="s">
        <v>29</v>
      </c>
      <c r="B106" t="s">
        <v>142</v>
      </c>
      <c r="C106">
        <v>1</v>
      </c>
      <c r="D106" s="4">
        <v>0.34</v>
      </c>
      <c r="E106" s="3">
        <v>93062</v>
      </c>
    </row>
    <row r="107" spans="1:5" x14ac:dyDescent="0.25">
      <c r="A107" t="s">
        <v>29</v>
      </c>
      <c r="B107" t="s">
        <v>143</v>
      </c>
      <c r="C107">
        <v>1</v>
      </c>
      <c r="D107" s="4">
        <v>0.1</v>
      </c>
      <c r="E107" s="3">
        <v>39212</v>
      </c>
    </row>
    <row r="108" spans="1:5" x14ac:dyDescent="0.25">
      <c r="A108" t="s">
        <v>29</v>
      </c>
      <c r="B108" t="s">
        <v>144</v>
      </c>
      <c r="C108">
        <v>8</v>
      </c>
      <c r="D108" s="4">
        <v>26.59</v>
      </c>
      <c r="E108" s="3">
        <v>617658</v>
      </c>
    </row>
    <row r="109" spans="1:5" x14ac:dyDescent="0.25">
      <c r="A109" t="s">
        <v>29</v>
      </c>
      <c r="B109" t="s">
        <v>145</v>
      </c>
      <c r="C109">
        <v>9</v>
      </c>
      <c r="D109" s="4">
        <v>5.99</v>
      </c>
      <c r="E109" s="3">
        <v>580077</v>
      </c>
    </row>
    <row r="110" spans="1:5" x14ac:dyDescent="0.25">
      <c r="A110" t="s">
        <v>29</v>
      </c>
      <c r="B110" t="s">
        <v>146</v>
      </c>
      <c r="C110">
        <v>3</v>
      </c>
      <c r="D110" s="4">
        <v>18.54</v>
      </c>
      <c r="E110" s="3">
        <v>396911</v>
      </c>
    </row>
    <row r="111" spans="1:5" x14ac:dyDescent="0.25">
      <c r="A111" t="s">
        <v>29</v>
      </c>
      <c r="B111" t="s">
        <v>147</v>
      </c>
      <c r="C111">
        <v>18</v>
      </c>
      <c r="D111" s="4">
        <v>17.63</v>
      </c>
      <c r="E111" s="3">
        <v>857637</v>
      </c>
    </row>
    <row r="112" spans="1:5" x14ac:dyDescent="0.25">
      <c r="A112" t="s">
        <v>148</v>
      </c>
      <c r="B112" t="s">
        <v>149</v>
      </c>
      <c r="C112">
        <v>5</v>
      </c>
      <c r="D112" s="4">
        <v>1.4172</v>
      </c>
      <c r="E112" s="3">
        <v>337783</v>
      </c>
    </row>
    <row r="113" spans="1:5" x14ac:dyDescent="0.25">
      <c r="A113" t="s">
        <v>148</v>
      </c>
      <c r="B113" t="s">
        <v>150</v>
      </c>
      <c r="C113">
        <v>3</v>
      </c>
      <c r="D113" s="4">
        <v>24.1357</v>
      </c>
      <c r="E113" s="3">
        <v>539953</v>
      </c>
    </row>
    <row r="114" spans="1:5" x14ac:dyDescent="0.25">
      <c r="A114" t="s">
        <v>148</v>
      </c>
      <c r="B114" t="s">
        <v>151</v>
      </c>
      <c r="C114">
        <v>1</v>
      </c>
      <c r="D114" s="4">
        <v>0.1575</v>
      </c>
      <c r="E114" s="3">
        <v>25000</v>
      </c>
    </row>
    <row r="115" spans="1:5" x14ac:dyDescent="0.25">
      <c r="A115" t="s">
        <v>148</v>
      </c>
      <c r="B115" t="s">
        <v>152</v>
      </c>
      <c r="C115">
        <v>8</v>
      </c>
      <c r="D115" s="4">
        <v>2.9075000000000002</v>
      </c>
      <c r="E115" s="3">
        <v>771543</v>
      </c>
    </row>
    <row r="116" spans="1:5" x14ac:dyDescent="0.25">
      <c r="A116" t="s">
        <v>148</v>
      </c>
      <c r="B116" t="s">
        <v>153</v>
      </c>
      <c r="C116">
        <v>34</v>
      </c>
      <c r="D116" s="4">
        <v>10.5876</v>
      </c>
      <c r="E116" s="3">
        <v>2015582</v>
      </c>
    </row>
    <row r="117" spans="1:5" x14ac:dyDescent="0.25">
      <c r="A117" t="s">
        <v>148</v>
      </c>
      <c r="B117" t="s">
        <v>154</v>
      </c>
      <c r="C117">
        <v>12</v>
      </c>
      <c r="D117" s="4">
        <v>3.7980999999999998</v>
      </c>
      <c r="E117" s="3">
        <v>400078</v>
      </c>
    </row>
    <row r="118" spans="1:5" x14ac:dyDescent="0.25">
      <c r="A118" t="s">
        <v>148</v>
      </c>
      <c r="B118" t="s">
        <v>155</v>
      </c>
      <c r="C118">
        <v>3</v>
      </c>
      <c r="D118" s="4">
        <v>3.4889000000000001</v>
      </c>
      <c r="E118" s="3">
        <v>79465</v>
      </c>
    </row>
    <row r="119" spans="1:5" x14ac:dyDescent="0.25">
      <c r="A119" t="s">
        <v>148</v>
      </c>
      <c r="B119" t="s">
        <v>156</v>
      </c>
      <c r="C119">
        <v>4</v>
      </c>
      <c r="D119" s="4">
        <v>1.0115000000000001</v>
      </c>
      <c r="E119" s="3">
        <v>208004</v>
      </c>
    </row>
    <row r="120" spans="1:5" x14ac:dyDescent="0.25">
      <c r="A120" t="s">
        <v>148</v>
      </c>
      <c r="B120" t="s">
        <v>157</v>
      </c>
      <c r="C120">
        <v>90</v>
      </c>
      <c r="D120" s="4">
        <v>65.807299999999998</v>
      </c>
      <c r="E120" s="3">
        <v>6125019</v>
      </c>
    </row>
    <row r="121" spans="1:5" x14ac:dyDescent="0.25">
      <c r="A121" t="s">
        <v>148</v>
      </c>
      <c r="B121" t="s">
        <v>158</v>
      </c>
      <c r="C121">
        <v>3</v>
      </c>
      <c r="D121" s="4">
        <v>1.2319</v>
      </c>
      <c r="E121" s="3">
        <v>272061</v>
      </c>
    </row>
    <row r="122" spans="1:5" x14ac:dyDescent="0.25">
      <c r="A122" t="s">
        <v>148</v>
      </c>
      <c r="B122" t="s">
        <v>159</v>
      </c>
      <c r="C122">
        <v>28</v>
      </c>
      <c r="D122" s="4">
        <v>62.753</v>
      </c>
      <c r="E122" s="3">
        <v>1419601</v>
      </c>
    </row>
    <row r="123" spans="1:5" x14ac:dyDescent="0.25">
      <c r="A123" t="s">
        <v>148</v>
      </c>
      <c r="B123" t="s">
        <v>160</v>
      </c>
      <c r="C123">
        <v>19</v>
      </c>
      <c r="D123" s="4">
        <v>5.5247000000000002</v>
      </c>
      <c r="E123" s="3">
        <v>1392453</v>
      </c>
    </row>
    <row r="124" spans="1:5" x14ac:dyDescent="0.25">
      <c r="A124" t="s">
        <v>148</v>
      </c>
      <c r="B124" t="s">
        <v>161</v>
      </c>
      <c r="C124">
        <v>7</v>
      </c>
      <c r="D124" s="4">
        <v>16.5123</v>
      </c>
      <c r="E124" s="3">
        <v>555080</v>
      </c>
    </row>
    <row r="125" spans="1:5" x14ac:dyDescent="0.25">
      <c r="A125" t="s">
        <v>148</v>
      </c>
      <c r="B125" t="s">
        <v>162</v>
      </c>
      <c r="C125">
        <v>9</v>
      </c>
      <c r="D125" s="4">
        <v>3.3508</v>
      </c>
      <c r="E125" s="3">
        <v>753090</v>
      </c>
    </row>
    <row r="126" spans="1:5" x14ac:dyDescent="0.25">
      <c r="A126" t="s">
        <v>148</v>
      </c>
      <c r="B126" t="s">
        <v>163</v>
      </c>
      <c r="C126">
        <v>9</v>
      </c>
      <c r="D126" s="4">
        <v>3.0682999999999998</v>
      </c>
      <c r="E126" s="3">
        <v>644440</v>
      </c>
    </row>
    <row r="127" spans="1:5" x14ac:dyDescent="0.25">
      <c r="A127" t="s">
        <v>148</v>
      </c>
      <c r="B127" t="s">
        <v>164</v>
      </c>
      <c r="C127">
        <v>8</v>
      </c>
      <c r="D127" s="4">
        <v>49.414000000000001</v>
      </c>
      <c r="E127" s="3">
        <v>1027387</v>
      </c>
    </row>
    <row r="128" spans="1:5" x14ac:dyDescent="0.25">
      <c r="A128" t="s">
        <v>148</v>
      </c>
      <c r="B128" t="s">
        <v>165</v>
      </c>
      <c r="C128">
        <v>9</v>
      </c>
      <c r="D128" s="4">
        <v>16.4895</v>
      </c>
      <c r="E128" s="3">
        <v>607088</v>
      </c>
    </row>
    <row r="129" spans="1:5" x14ac:dyDescent="0.25">
      <c r="A129" t="s">
        <v>148</v>
      </c>
      <c r="B129" t="s">
        <v>166</v>
      </c>
      <c r="C129">
        <v>9</v>
      </c>
      <c r="D129" s="4">
        <v>2.7282999999999999</v>
      </c>
      <c r="E129" s="3">
        <v>775918</v>
      </c>
    </row>
    <row r="130" spans="1:5" x14ac:dyDescent="0.25">
      <c r="A130" t="s">
        <v>148</v>
      </c>
      <c r="B130" t="s">
        <v>167</v>
      </c>
      <c r="C130">
        <v>10</v>
      </c>
      <c r="D130" s="4">
        <v>75.013300000000001</v>
      </c>
      <c r="E130" s="3">
        <v>1488709</v>
      </c>
    </row>
    <row r="131" spans="1:5" x14ac:dyDescent="0.25">
      <c r="A131" t="s">
        <v>168</v>
      </c>
      <c r="B131" t="s">
        <v>169</v>
      </c>
      <c r="C131">
        <v>1</v>
      </c>
      <c r="D131" s="4">
        <v>0.2979</v>
      </c>
      <c r="E131" s="3">
        <v>38030</v>
      </c>
    </row>
    <row r="132" spans="1:5" x14ac:dyDescent="0.25">
      <c r="A132" t="s">
        <v>168</v>
      </c>
      <c r="B132" t="s">
        <v>170</v>
      </c>
      <c r="C132">
        <v>1</v>
      </c>
      <c r="D132" s="4">
        <v>9.7299999999999998E-2</v>
      </c>
      <c r="E132" s="3">
        <v>15865</v>
      </c>
    </row>
    <row r="133" spans="1:5" x14ac:dyDescent="0.25">
      <c r="A133" t="s">
        <v>168</v>
      </c>
      <c r="B133" t="s">
        <v>171</v>
      </c>
      <c r="C133">
        <v>1</v>
      </c>
      <c r="D133" s="4">
        <v>0.54669999999999996</v>
      </c>
      <c r="E133" s="3">
        <v>30667</v>
      </c>
    </row>
    <row r="134" spans="1:5" x14ac:dyDescent="0.25">
      <c r="A134" t="s">
        <v>168</v>
      </c>
      <c r="B134" t="s">
        <v>172</v>
      </c>
      <c r="C134">
        <v>3</v>
      </c>
      <c r="D134" s="4">
        <v>1.2</v>
      </c>
      <c r="E134" s="3">
        <v>944386</v>
      </c>
    </row>
    <row r="135" spans="1:5" x14ac:dyDescent="0.25">
      <c r="A135" t="s">
        <v>173</v>
      </c>
      <c r="B135" t="s">
        <v>173</v>
      </c>
      <c r="C135">
        <v>1</v>
      </c>
      <c r="D135" s="4">
        <v>0.1</v>
      </c>
      <c r="E135" s="3">
        <v>30585</v>
      </c>
    </row>
    <row r="136" spans="1:5" x14ac:dyDescent="0.25">
      <c r="A136" t="s">
        <v>32</v>
      </c>
      <c r="B136" t="s">
        <v>33</v>
      </c>
      <c r="C136">
        <v>4</v>
      </c>
      <c r="D136" s="4">
        <v>1.605</v>
      </c>
      <c r="E136" s="3">
        <v>306223</v>
      </c>
    </row>
    <row r="137" spans="1:5" x14ac:dyDescent="0.25">
      <c r="A137" t="s">
        <v>32</v>
      </c>
      <c r="B137" t="s">
        <v>174</v>
      </c>
      <c r="C137">
        <v>1</v>
      </c>
      <c r="D137" s="4">
        <v>0.19109999999999999</v>
      </c>
      <c r="E137" s="3">
        <v>55000</v>
      </c>
    </row>
    <row r="138" spans="1:5" x14ac:dyDescent="0.25">
      <c r="A138" t="s">
        <v>32</v>
      </c>
      <c r="B138" t="s">
        <v>34</v>
      </c>
      <c r="C138">
        <v>8</v>
      </c>
      <c r="D138" s="4">
        <v>7.2031999999999998</v>
      </c>
      <c r="E138" s="3">
        <v>795040</v>
      </c>
    </row>
    <row r="139" spans="1:5" x14ac:dyDescent="0.25">
      <c r="A139" t="s">
        <v>32</v>
      </c>
      <c r="B139" t="s">
        <v>175</v>
      </c>
      <c r="C139">
        <v>4</v>
      </c>
      <c r="D139" s="4">
        <v>1.0972660000000001</v>
      </c>
      <c r="E139" s="3">
        <v>149000</v>
      </c>
    </row>
    <row r="140" spans="1:5" x14ac:dyDescent="0.25">
      <c r="A140" t="s">
        <v>32</v>
      </c>
      <c r="B140" t="s">
        <v>176</v>
      </c>
      <c r="C140">
        <v>1</v>
      </c>
      <c r="D140" s="4">
        <v>0.65</v>
      </c>
      <c r="E140" s="3">
        <v>47384</v>
      </c>
    </row>
    <row r="141" spans="1:5" x14ac:dyDescent="0.25">
      <c r="A141" t="s">
        <v>32</v>
      </c>
      <c r="B141" t="s">
        <v>177</v>
      </c>
      <c r="C141">
        <v>4</v>
      </c>
      <c r="D141" s="4">
        <v>3.535558</v>
      </c>
      <c r="E141" s="3">
        <v>233450</v>
      </c>
    </row>
    <row r="142" spans="1:5" x14ac:dyDescent="0.25">
      <c r="A142" t="s">
        <v>32</v>
      </c>
      <c r="B142" t="s">
        <v>178</v>
      </c>
      <c r="C142">
        <v>5</v>
      </c>
      <c r="D142" s="4">
        <v>0.98685</v>
      </c>
      <c r="E142" s="3">
        <v>90395</v>
      </c>
    </row>
    <row r="143" spans="1:5" x14ac:dyDescent="0.25">
      <c r="A143" t="s">
        <v>32</v>
      </c>
      <c r="B143" t="s">
        <v>179</v>
      </c>
      <c r="C143">
        <v>1</v>
      </c>
      <c r="D143" s="4">
        <v>0.61933199999999999</v>
      </c>
      <c r="E143" s="3">
        <v>47000</v>
      </c>
    </row>
    <row r="144" spans="1:5" x14ac:dyDescent="0.25">
      <c r="A144" t="s">
        <v>32</v>
      </c>
      <c r="B144" t="s">
        <v>180</v>
      </c>
      <c r="C144">
        <v>3</v>
      </c>
      <c r="D144" s="4">
        <v>0.85067599999999999</v>
      </c>
      <c r="E144" s="3">
        <v>109000</v>
      </c>
    </row>
    <row r="145" spans="1:5" x14ac:dyDescent="0.25">
      <c r="A145" t="s">
        <v>32</v>
      </c>
      <c r="B145" t="s">
        <v>35</v>
      </c>
      <c r="C145">
        <v>6</v>
      </c>
      <c r="D145" s="4">
        <v>7.7180039999999996</v>
      </c>
      <c r="E145" s="3">
        <v>1081489</v>
      </c>
    </row>
    <row r="146" spans="1:5" x14ac:dyDescent="0.25">
      <c r="A146" t="s">
        <v>32</v>
      </c>
      <c r="B146" t="s">
        <v>181</v>
      </c>
      <c r="C146">
        <v>6</v>
      </c>
      <c r="D146" s="4">
        <v>2.765307</v>
      </c>
      <c r="E146" s="3">
        <v>220253</v>
      </c>
    </row>
    <row r="147" spans="1:5" x14ac:dyDescent="0.25">
      <c r="A147" t="s">
        <v>182</v>
      </c>
      <c r="B147" t="s">
        <v>182</v>
      </c>
      <c r="C147">
        <v>1</v>
      </c>
      <c r="D147" s="4">
        <v>0.45</v>
      </c>
      <c r="E147" s="3">
        <v>20070</v>
      </c>
    </row>
    <row r="148" spans="1:5" x14ac:dyDescent="0.25">
      <c r="A148" t="s">
        <v>36</v>
      </c>
      <c r="B148" t="s">
        <v>183</v>
      </c>
      <c r="C148">
        <v>8</v>
      </c>
      <c r="D148" s="4">
        <v>8.9700000000000006</v>
      </c>
      <c r="E148" s="3">
        <v>529606</v>
      </c>
    </row>
    <row r="149" spans="1:5" x14ac:dyDescent="0.25">
      <c r="A149" t="s">
        <v>36</v>
      </c>
      <c r="B149" t="s">
        <v>184</v>
      </c>
      <c r="C149">
        <v>107</v>
      </c>
      <c r="D149" s="4">
        <v>53.423400000000001</v>
      </c>
      <c r="E149" s="3">
        <v>6137404</v>
      </c>
    </row>
    <row r="150" spans="1:5" x14ac:dyDescent="0.25">
      <c r="A150" t="s">
        <v>36</v>
      </c>
      <c r="B150" t="s">
        <v>185</v>
      </c>
      <c r="C150">
        <v>5</v>
      </c>
      <c r="D150" s="4">
        <v>3.7086999999999999</v>
      </c>
      <c r="E150" s="3">
        <v>250356</v>
      </c>
    </row>
    <row r="151" spans="1:5" x14ac:dyDescent="0.25">
      <c r="A151" t="s">
        <v>36</v>
      </c>
      <c r="B151" t="s">
        <v>186</v>
      </c>
      <c r="C151">
        <v>10</v>
      </c>
      <c r="D151" s="4">
        <v>3.3456000000000001</v>
      </c>
      <c r="E151" s="3">
        <v>485242</v>
      </c>
    </row>
    <row r="152" spans="1:5" x14ac:dyDescent="0.25">
      <c r="A152" t="s">
        <v>36</v>
      </c>
      <c r="B152" t="s">
        <v>187</v>
      </c>
      <c r="C152">
        <v>11</v>
      </c>
      <c r="D152" s="4">
        <v>11.5655</v>
      </c>
      <c r="E152" s="3">
        <v>1033362</v>
      </c>
    </row>
    <row r="153" spans="1:5" x14ac:dyDescent="0.25">
      <c r="A153" t="s">
        <v>36</v>
      </c>
      <c r="B153" t="s">
        <v>188</v>
      </c>
      <c r="C153">
        <v>13</v>
      </c>
      <c r="D153" s="4">
        <v>13.082000000000001</v>
      </c>
      <c r="E153" s="3">
        <v>1545958</v>
      </c>
    </row>
    <row r="154" spans="1:5" x14ac:dyDescent="0.25">
      <c r="A154" t="s">
        <v>36</v>
      </c>
      <c r="B154" t="s">
        <v>189</v>
      </c>
      <c r="C154">
        <v>121</v>
      </c>
      <c r="D154" s="4">
        <v>53.370800000000003</v>
      </c>
      <c r="E154" s="3">
        <v>6059608</v>
      </c>
    </row>
    <row r="155" spans="1:5" x14ac:dyDescent="0.25">
      <c r="A155" t="s">
        <v>36</v>
      </c>
      <c r="B155" t="s">
        <v>190</v>
      </c>
      <c r="C155">
        <v>2</v>
      </c>
      <c r="D155" s="4">
        <v>1.6459999999999999</v>
      </c>
      <c r="E155" s="3">
        <v>214462</v>
      </c>
    </row>
    <row r="156" spans="1:5" x14ac:dyDescent="0.25">
      <c r="A156" t="s">
        <v>36</v>
      </c>
      <c r="B156" t="s">
        <v>37</v>
      </c>
      <c r="C156">
        <v>5</v>
      </c>
      <c r="D156" s="4">
        <v>2.4239999999999999</v>
      </c>
      <c r="E156" s="3">
        <v>524154</v>
      </c>
    </row>
    <row r="157" spans="1:5" x14ac:dyDescent="0.25">
      <c r="A157" t="s">
        <v>36</v>
      </c>
      <c r="B157" t="s">
        <v>191</v>
      </c>
      <c r="C157">
        <v>39</v>
      </c>
      <c r="D157" s="4">
        <v>15.3246</v>
      </c>
      <c r="E157" s="3">
        <v>3730903</v>
      </c>
    </row>
    <row r="158" spans="1:5" x14ac:dyDescent="0.25">
      <c r="A158" t="s">
        <v>36</v>
      </c>
      <c r="B158" t="s">
        <v>192</v>
      </c>
      <c r="C158">
        <v>3</v>
      </c>
      <c r="D158" s="4">
        <v>15.5419</v>
      </c>
      <c r="E158" s="3">
        <v>403741</v>
      </c>
    </row>
    <row r="159" spans="1:5" x14ac:dyDescent="0.25">
      <c r="A159" t="s">
        <v>36</v>
      </c>
      <c r="B159" t="s">
        <v>193</v>
      </c>
      <c r="C159">
        <v>62</v>
      </c>
      <c r="D159" s="4">
        <v>28.633700000000001</v>
      </c>
      <c r="E159" s="3">
        <v>3036411</v>
      </c>
    </row>
    <row r="160" spans="1:5" x14ac:dyDescent="0.25">
      <c r="A160" t="s">
        <v>36</v>
      </c>
      <c r="B160" t="s">
        <v>194</v>
      </c>
      <c r="C160">
        <v>8</v>
      </c>
      <c r="D160" s="4">
        <v>3.6701999999999999</v>
      </c>
      <c r="E160" s="3">
        <v>771340</v>
      </c>
    </row>
    <row r="161" spans="1:5" x14ac:dyDescent="0.25">
      <c r="A161" t="s">
        <v>36</v>
      </c>
      <c r="B161" t="s">
        <v>195</v>
      </c>
      <c r="C161">
        <v>1</v>
      </c>
      <c r="D161" s="4">
        <v>0.19900000000000001</v>
      </c>
      <c r="E161" s="3">
        <v>86233</v>
      </c>
    </row>
    <row r="162" spans="1:5" x14ac:dyDescent="0.25">
      <c r="A162" t="s">
        <v>36</v>
      </c>
      <c r="B162" t="s">
        <v>196</v>
      </c>
      <c r="C162">
        <v>10</v>
      </c>
      <c r="D162" s="4">
        <v>35.703800000000001</v>
      </c>
      <c r="E162" s="3">
        <v>1085382</v>
      </c>
    </row>
    <row r="163" spans="1:5" x14ac:dyDescent="0.25">
      <c r="A163" t="s">
        <v>197</v>
      </c>
      <c r="B163" t="s">
        <v>198</v>
      </c>
      <c r="C163">
        <v>1</v>
      </c>
      <c r="D163" s="4">
        <v>0.35</v>
      </c>
      <c r="E163" s="3">
        <v>82391</v>
      </c>
    </row>
    <row r="164" spans="1:5" x14ac:dyDescent="0.25">
      <c r="A164" t="s">
        <v>197</v>
      </c>
      <c r="B164" t="s">
        <v>199</v>
      </c>
      <c r="C164">
        <v>15</v>
      </c>
      <c r="D164" s="4">
        <v>70.233000000000004</v>
      </c>
      <c r="E164" s="3">
        <v>2503045</v>
      </c>
    </row>
    <row r="165" spans="1:5" x14ac:dyDescent="0.25">
      <c r="A165" t="s">
        <v>197</v>
      </c>
      <c r="B165" t="s">
        <v>200</v>
      </c>
      <c r="C165">
        <v>9</v>
      </c>
      <c r="D165" s="4">
        <v>2.4049999999999998</v>
      </c>
      <c r="E165" s="3">
        <v>495700</v>
      </c>
    </row>
    <row r="166" spans="1:5" x14ac:dyDescent="0.25">
      <c r="A166" t="s">
        <v>197</v>
      </c>
      <c r="B166" t="s">
        <v>201</v>
      </c>
      <c r="C166">
        <v>3</v>
      </c>
      <c r="D166" s="4">
        <v>14.24</v>
      </c>
      <c r="E166" s="3">
        <v>464317</v>
      </c>
    </row>
    <row r="167" spans="1:5" x14ac:dyDescent="0.25">
      <c r="A167" t="s">
        <v>197</v>
      </c>
      <c r="B167" t="s">
        <v>202</v>
      </c>
      <c r="C167">
        <v>1</v>
      </c>
      <c r="D167" s="4">
        <v>0.22500000000000001</v>
      </c>
      <c r="E167" s="3">
        <v>42059</v>
      </c>
    </row>
    <row r="168" spans="1:5" x14ac:dyDescent="0.25">
      <c r="A168" t="s">
        <v>197</v>
      </c>
      <c r="B168" t="s">
        <v>203</v>
      </c>
      <c r="C168">
        <v>4</v>
      </c>
      <c r="D168" s="4">
        <v>0.77</v>
      </c>
      <c r="E168" s="3">
        <v>147565</v>
      </c>
    </row>
    <row r="169" spans="1:5" x14ac:dyDescent="0.25">
      <c r="A169" t="s">
        <v>197</v>
      </c>
      <c r="B169" t="s">
        <v>204</v>
      </c>
      <c r="C169">
        <v>2</v>
      </c>
      <c r="D169" s="4">
        <v>0.59199999999999997</v>
      </c>
      <c r="E169" s="3">
        <v>183499</v>
      </c>
    </row>
    <row r="170" spans="1:5" x14ac:dyDescent="0.25">
      <c r="A170" t="s">
        <v>197</v>
      </c>
      <c r="B170" t="s">
        <v>205</v>
      </c>
      <c r="C170">
        <v>3</v>
      </c>
      <c r="D170" s="4">
        <v>0.83699999999999997</v>
      </c>
      <c r="E170" s="3">
        <v>384599</v>
      </c>
    </row>
    <row r="171" spans="1:5" x14ac:dyDescent="0.25">
      <c r="A171" t="s">
        <v>197</v>
      </c>
      <c r="B171" t="s">
        <v>206</v>
      </c>
      <c r="C171">
        <v>5</v>
      </c>
      <c r="D171" s="4">
        <v>14.5085</v>
      </c>
      <c r="E171" s="3">
        <v>871887</v>
      </c>
    </row>
    <row r="172" spans="1:5" x14ac:dyDescent="0.25">
      <c r="A172" t="s">
        <v>197</v>
      </c>
      <c r="B172" t="s">
        <v>207</v>
      </c>
      <c r="C172">
        <v>1</v>
      </c>
      <c r="D172" s="4">
        <v>0.24</v>
      </c>
      <c r="E172" s="3">
        <v>90661</v>
      </c>
    </row>
    <row r="173" spans="1:5" x14ac:dyDescent="0.25">
      <c r="A173" t="s">
        <v>197</v>
      </c>
      <c r="B173" t="s">
        <v>208</v>
      </c>
      <c r="C173">
        <v>3</v>
      </c>
      <c r="D173" s="4">
        <v>0.56799999999999995</v>
      </c>
      <c r="E173" s="3">
        <v>269909</v>
      </c>
    </row>
    <row r="174" spans="1:5" x14ac:dyDescent="0.25">
      <c r="A174" t="s">
        <v>197</v>
      </c>
      <c r="B174" t="s">
        <v>209</v>
      </c>
      <c r="C174">
        <v>4</v>
      </c>
      <c r="D174" s="4">
        <v>1.1265000000000001</v>
      </c>
      <c r="E174" s="3">
        <v>245714</v>
      </c>
    </row>
    <row r="175" spans="1:5" x14ac:dyDescent="0.25">
      <c r="A175" t="s">
        <v>197</v>
      </c>
      <c r="B175" t="s">
        <v>210</v>
      </c>
      <c r="C175">
        <v>3</v>
      </c>
      <c r="D175" s="4">
        <v>18.690999999999999</v>
      </c>
      <c r="E175" s="3">
        <v>514911</v>
      </c>
    </row>
    <row r="176" spans="1:5" x14ac:dyDescent="0.25">
      <c r="A176" t="s">
        <v>197</v>
      </c>
      <c r="B176" t="s">
        <v>211</v>
      </c>
      <c r="C176">
        <v>1</v>
      </c>
      <c r="D176" s="4">
        <v>0.21</v>
      </c>
      <c r="E176" s="3">
        <v>87579</v>
      </c>
    </row>
    <row r="177" spans="1:5" x14ac:dyDescent="0.25">
      <c r="A177" t="s">
        <v>197</v>
      </c>
      <c r="B177" t="s">
        <v>212</v>
      </c>
      <c r="C177">
        <v>3</v>
      </c>
      <c r="D177" s="4">
        <v>0.84299999999999997</v>
      </c>
      <c r="E177" s="3">
        <v>324853</v>
      </c>
    </row>
    <row r="178" spans="1:5" x14ac:dyDescent="0.25">
      <c r="A178" t="s">
        <v>197</v>
      </c>
      <c r="B178" t="s">
        <v>213</v>
      </c>
      <c r="C178">
        <v>1</v>
      </c>
      <c r="D178" s="4">
        <v>0.128</v>
      </c>
      <c r="E178" s="3">
        <v>79737</v>
      </c>
    </row>
    <row r="179" spans="1:5" x14ac:dyDescent="0.25">
      <c r="A179" t="s">
        <v>197</v>
      </c>
      <c r="B179" t="s">
        <v>214</v>
      </c>
      <c r="C179">
        <v>4</v>
      </c>
      <c r="D179" s="4">
        <v>1.4195</v>
      </c>
      <c r="E179" s="3">
        <v>264214</v>
      </c>
    </row>
    <row r="180" spans="1:5" x14ac:dyDescent="0.25">
      <c r="A180" t="s">
        <v>197</v>
      </c>
      <c r="B180" t="s">
        <v>215</v>
      </c>
      <c r="C180">
        <v>4</v>
      </c>
      <c r="D180" s="4">
        <v>1.8620000000000001</v>
      </c>
      <c r="E180" s="3">
        <v>307119</v>
      </c>
    </row>
    <row r="181" spans="1:5" x14ac:dyDescent="0.25">
      <c r="A181" t="s">
        <v>197</v>
      </c>
      <c r="B181" t="s">
        <v>216</v>
      </c>
      <c r="C181">
        <v>7</v>
      </c>
      <c r="D181" s="4">
        <v>11.427</v>
      </c>
      <c r="E181" s="3">
        <v>1025030</v>
      </c>
    </row>
    <row r="182" spans="1:5" x14ac:dyDescent="0.25">
      <c r="A182" t="s">
        <v>197</v>
      </c>
      <c r="B182" t="s">
        <v>217</v>
      </c>
      <c r="C182">
        <v>4</v>
      </c>
      <c r="D182" s="4">
        <v>15.824999999999999</v>
      </c>
      <c r="E182" s="3">
        <v>714451</v>
      </c>
    </row>
    <row r="183" spans="1:5" x14ac:dyDescent="0.25">
      <c r="A183" t="s">
        <v>197</v>
      </c>
      <c r="B183" t="s">
        <v>218</v>
      </c>
      <c r="C183">
        <v>37</v>
      </c>
      <c r="D183" s="4">
        <v>10.4085</v>
      </c>
      <c r="E183" s="3">
        <v>1765013</v>
      </c>
    </row>
    <row r="184" spans="1:5" x14ac:dyDescent="0.25">
      <c r="A184" t="s">
        <v>197</v>
      </c>
      <c r="B184" t="s">
        <v>219</v>
      </c>
      <c r="C184">
        <v>1</v>
      </c>
      <c r="D184" s="4">
        <v>0.28999999999999998</v>
      </c>
      <c r="E184" s="3">
        <v>42000</v>
      </c>
    </row>
    <row r="185" spans="1:5" x14ac:dyDescent="0.25">
      <c r="A185" t="s">
        <v>38</v>
      </c>
      <c r="B185" t="s">
        <v>220</v>
      </c>
      <c r="C185">
        <v>5</v>
      </c>
      <c r="D185" s="4">
        <v>2.5390999999999999</v>
      </c>
      <c r="E185" s="3">
        <v>680000</v>
      </c>
    </row>
    <row r="186" spans="1:5" x14ac:dyDescent="0.25">
      <c r="A186" t="s">
        <v>38</v>
      </c>
      <c r="B186" t="s">
        <v>39</v>
      </c>
      <c r="C186">
        <v>109</v>
      </c>
      <c r="D186" s="4">
        <v>73.344499999999996</v>
      </c>
      <c r="E186" s="3">
        <v>17376433</v>
      </c>
    </row>
    <row r="187" spans="1:5" x14ac:dyDescent="0.25">
      <c r="A187" t="s">
        <v>38</v>
      </c>
      <c r="B187" t="s">
        <v>221</v>
      </c>
      <c r="C187">
        <v>6</v>
      </c>
      <c r="D187" s="4">
        <v>4.3620999999999999</v>
      </c>
      <c r="E187" s="3">
        <v>868659</v>
      </c>
    </row>
    <row r="188" spans="1:5" x14ac:dyDescent="0.25">
      <c r="A188" t="s">
        <v>38</v>
      </c>
      <c r="B188" t="s">
        <v>222</v>
      </c>
      <c r="C188">
        <v>11</v>
      </c>
      <c r="D188" s="4">
        <v>6.1753999999999998</v>
      </c>
      <c r="E188" s="3">
        <v>1194779</v>
      </c>
    </row>
    <row r="189" spans="1:5" x14ac:dyDescent="0.25">
      <c r="A189" t="s">
        <v>38</v>
      </c>
      <c r="B189" t="s">
        <v>223</v>
      </c>
      <c r="C189">
        <v>12</v>
      </c>
      <c r="D189" s="4">
        <v>4.0008999999999997</v>
      </c>
      <c r="E189" s="3">
        <v>1539294</v>
      </c>
    </row>
    <row r="190" spans="1:5" x14ac:dyDescent="0.25">
      <c r="A190" t="s">
        <v>38</v>
      </c>
      <c r="B190" t="s">
        <v>224</v>
      </c>
      <c r="C190">
        <v>15</v>
      </c>
      <c r="D190" s="4">
        <v>10.5464</v>
      </c>
      <c r="E190" s="3">
        <v>2158465</v>
      </c>
    </row>
    <row r="191" spans="1:5" x14ac:dyDescent="0.25">
      <c r="A191" t="s">
        <v>38</v>
      </c>
      <c r="B191" t="s">
        <v>225</v>
      </c>
      <c r="C191">
        <v>1</v>
      </c>
      <c r="D191" s="4">
        <v>0.38169999999999998</v>
      </c>
      <c r="E191" s="3">
        <v>244000</v>
      </c>
    </row>
    <row r="192" spans="1:5" x14ac:dyDescent="0.25">
      <c r="A192" t="s">
        <v>38</v>
      </c>
      <c r="B192" t="s">
        <v>226</v>
      </c>
      <c r="C192">
        <v>32</v>
      </c>
      <c r="D192" s="4">
        <v>27.114599999999999</v>
      </c>
      <c r="E192" s="3">
        <v>5539785</v>
      </c>
    </row>
    <row r="193" spans="1:5" x14ac:dyDescent="0.25">
      <c r="A193" t="s">
        <v>38</v>
      </c>
      <c r="B193" t="s">
        <v>227</v>
      </c>
      <c r="C193">
        <v>86</v>
      </c>
      <c r="D193" s="4">
        <v>38.224800000000002</v>
      </c>
      <c r="E193" s="3">
        <v>10324969</v>
      </c>
    </row>
    <row r="194" spans="1:5" x14ac:dyDescent="0.25">
      <c r="A194" t="s">
        <v>38</v>
      </c>
      <c r="B194" t="s">
        <v>228</v>
      </c>
      <c r="C194">
        <v>2</v>
      </c>
      <c r="D194" s="4">
        <v>0.26</v>
      </c>
      <c r="E194" s="3">
        <v>140823</v>
      </c>
    </row>
    <row r="195" spans="1:5" x14ac:dyDescent="0.25">
      <c r="A195" t="s">
        <v>38</v>
      </c>
      <c r="B195" t="s">
        <v>229</v>
      </c>
      <c r="C195">
        <v>2</v>
      </c>
      <c r="D195" s="4">
        <v>0.62</v>
      </c>
      <c r="E195" s="3">
        <v>267416</v>
      </c>
    </row>
    <row r="196" spans="1:5" x14ac:dyDescent="0.25">
      <c r="A196" t="s">
        <v>38</v>
      </c>
      <c r="B196" t="s">
        <v>230</v>
      </c>
      <c r="C196">
        <v>1</v>
      </c>
      <c r="D196" s="4">
        <v>0.17</v>
      </c>
      <c r="E196" s="3">
        <v>121649</v>
      </c>
    </row>
    <row r="197" spans="1:5" x14ac:dyDescent="0.25">
      <c r="A197" t="s">
        <v>38</v>
      </c>
      <c r="B197" t="s">
        <v>231</v>
      </c>
      <c r="C197">
        <v>1</v>
      </c>
      <c r="D197" s="4">
        <v>0.14799999999999999</v>
      </c>
      <c r="E197" s="3">
        <v>55740</v>
      </c>
    </row>
    <row r="198" spans="1:5" x14ac:dyDescent="0.25">
      <c r="A198" t="s">
        <v>38</v>
      </c>
      <c r="B198" t="s">
        <v>232</v>
      </c>
      <c r="C198">
        <v>59</v>
      </c>
      <c r="D198" s="4">
        <v>23.385300000000001</v>
      </c>
      <c r="E198" s="3">
        <v>5643582</v>
      </c>
    </row>
    <row r="199" spans="1:5" x14ac:dyDescent="0.25">
      <c r="A199" t="s">
        <v>38</v>
      </c>
      <c r="B199" t="s">
        <v>233</v>
      </c>
      <c r="C199">
        <v>6</v>
      </c>
      <c r="D199" s="4">
        <v>7.2558999999999996</v>
      </c>
      <c r="E199" s="3">
        <v>939359</v>
      </c>
    </row>
    <row r="200" spans="1:5" x14ac:dyDescent="0.25">
      <c r="A200" t="s">
        <v>38</v>
      </c>
      <c r="B200" t="s">
        <v>234</v>
      </c>
      <c r="C200">
        <v>1</v>
      </c>
      <c r="D200" s="4">
        <v>0.2</v>
      </c>
      <c r="E200" s="3">
        <v>101956</v>
      </c>
    </row>
    <row r="201" spans="1:5" x14ac:dyDescent="0.25">
      <c r="A201" t="s">
        <v>38</v>
      </c>
      <c r="B201" t="s">
        <v>235</v>
      </c>
      <c r="C201">
        <v>23</v>
      </c>
      <c r="D201" s="4">
        <v>16.255700000000001</v>
      </c>
      <c r="E201" s="3">
        <v>3998030</v>
      </c>
    </row>
    <row r="202" spans="1:5" x14ac:dyDescent="0.25">
      <c r="A202" t="s">
        <v>38</v>
      </c>
      <c r="B202" t="s">
        <v>236</v>
      </c>
      <c r="C202">
        <v>35</v>
      </c>
      <c r="D202" s="4">
        <v>11.6242</v>
      </c>
      <c r="E202" s="3">
        <v>2690848</v>
      </c>
    </row>
    <row r="203" spans="1:5" x14ac:dyDescent="0.25">
      <c r="A203" t="s">
        <v>40</v>
      </c>
      <c r="B203" t="s">
        <v>41</v>
      </c>
      <c r="C203">
        <v>2</v>
      </c>
      <c r="D203" s="4">
        <v>3.1181000000000001</v>
      </c>
      <c r="E203" s="3">
        <v>363897</v>
      </c>
    </row>
    <row r="204" spans="1:5" x14ac:dyDescent="0.25">
      <c r="A204" t="s">
        <v>40</v>
      </c>
      <c r="B204" t="s">
        <v>42</v>
      </c>
      <c r="C204">
        <v>29</v>
      </c>
      <c r="D204" s="4">
        <v>15.713900000000001</v>
      </c>
      <c r="E204" s="3">
        <v>2793306</v>
      </c>
    </row>
    <row r="205" spans="1:5" x14ac:dyDescent="0.25">
      <c r="A205" t="s">
        <v>40</v>
      </c>
      <c r="B205" t="s">
        <v>43</v>
      </c>
      <c r="C205">
        <v>63</v>
      </c>
      <c r="D205" s="4">
        <v>50.629369699999998</v>
      </c>
      <c r="E205" s="3">
        <v>6678171</v>
      </c>
    </row>
    <row r="206" spans="1:5" x14ac:dyDescent="0.25">
      <c r="A206" t="s">
        <v>40</v>
      </c>
      <c r="B206" t="s">
        <v>44</v>
      </c>
      <c r="C206">
        <v>8</v>
      </c>
      <c r="D206" s="4">
        <v>1.678852</v>
      </c>
      <c r="E206" s="3">
        <v>514351</v>
      </c>
    </row>
    <row r="207" spans="1:5" x14ac:dyDescent="0.25">
      <c r="A207" t="s">
        <v>40</v>
      </c>
      <c r="B207" t="s">
        <v>45</v>
      </c>
      <c r="C207">
        <v>43</v>
      </c>
      <c r="D207" s="4">
        <v>27.313199999999998</v>
      </c>
      <c r="E207" s="3">
        <v>3029588</v>
      </c>
    </row>
    <row r="208" spans="1:5" x14ac:dyDescent="0.25">
      <c r="A208" t="s">
        <v>40</v>
      </c>
      <c r="B208" t="s">
        <v>46</v>
      </c>
      <c r="C208">
        <v>5</v>
      </c>
      <c r="D208" s="4">
        <v>4.2248999999999999</v>
      </c>
      <c r="E208" s="3">
        <v>653924</v>
      </c>
    </row>
    <row r="209" spans="1:5" x14ac:dyDescent="0.25">
      <c r="A209" t="s">
        <v>40</v>
      </c>
      <c r="B209" t="s">
        <v>47</v>
      </c>
      <c r="C209">
        <v>10</v>
      </c>
      <c r="D209" s="4">
        <v>8.5779999999999994</v>
      </c>
      <c r="E209" s="3">
        <v>2391790</v>
      </c>
    </row>
    <row r="210" spans="1:5" x14ac:dyDescent="0.25">
      <c r="A210" t="s">
        <v>40</v>
      </c>
      <c r="B210" t="s">
        <v>48</v>
      </c>
      <c r="C210">
        <v>6</v>
      </c>
      <c r="D210" s="4">
        <v>5.4930000000000003</v>
      </c>
      <c r="E210" s="3">
        <v>614344</v>
      </c>
    </row>
    <row r="211" spans="1:5" x14ac:dyDescent="0.25">
      <c r="A211" t="s">
        <v>40</v>
      </c>
      <c r="B211" t="s">
        <v>49</v>
      </c>
      <c r="C211">
        <v>10</v>
      </c>
      <c r="D211" s="4">
        <v>9.7620000000000005</v>
      </c>
      <c r="E211" s="3">
        <v>1028980</v>
      </c>
    </row>
    <row r="212" spans="1:5" x14ac:dyDescent="0.25">
      <c r="A212" t="s">
        <v>40</v>
      </c>
      <c r="B212" t="s">
        <v>50</v>
      </c>
      <c r="C212">
        <v>26</v>
      </c>
      <c r="D212" s="4">
        <v>21.611499999999999</v>
      </c>
      <c r="E212" s="3">
        <v>2174180</v>
      </c>
    </row>
    <row r="213" spans="1:5" x14ac:dyDescent="0.25">
      <c r="A213" t="s">
        <v>40</v>
      </c>
      <c r="B213" t="s">
        <v>51</v>
      </c>
      <c r="C213">
        <v>5</v>
      </c>
      <c r="D213" s="4">
        <v>4.0643000000000002</v>
      </c>
      <c r="E213" s="3">
        <v>848697</v>
      </c>
    </row>
    <row r="214" spans="1:5" x14ac:dyDescent="0.25">
      <c r="A214" t="s">
        <v>237</v>
      </c>
      <c r="B214" t="s">
        <v>238</v>
      </c>
      <c r="C214">
        <v>1</v>
      </c>
      <c r="D214" s="4">
        <v>0.2747</v>
      </c>
      <c r="E214" s="3">
        <v>48000</v>
      </c>
    </row>
    <row r="215" spans="1:5" x14ac:dyDescent="0.25">
      <c r="A215" t="s">
        <v>237</v>
      </c>
      <c r="B215" t="s">
        <v>239</v>
      </c>
      <c r="C215">
        <v>4</v>
      </c>
      <c r="D215" s="4">
        <v>1.3186</v>
      </c>
      <c r="E215" s="3">
        <v>218450</v>
      </c>
    </row>
    <row r="216" spans="1:5" x14ac:dyDescent="0.25">
      <c r="A216" t="s">
        <v>237</v>
      </c>
      <c r="B216" t="s">
        <v>240</v>
      </c>
      <c r="C216">
        <v>37</v>
      </c>
      <c r="D216" s="4">
        <v>19.194299999999998</v>
      </c>
      <c r="E216" s="3">
        <v>1690268</v>
      </c>
    </row>
    <row r="217" spans="1:5" x14ac:dyDescent="0.25">
      <c r="A217" t="s">
        <v>237</v>
      </c>
      <c r="B217" t="s">
        <v>241</v>
      </c>
      <c r="C217">
        <v>14</v>
      </c>
      <c r="D217" s="4">
        <v>10.0367</v>
      </c>
      <c r="E217" s="3">
        <v>1012878</v>
      </c>
    </row>
    <row r="218" spans="1:5" x14ac:dyDescent="0.25">
      <c r="A218" t="s">
        <v>237</v>
      </c>
      <c r="B218" t="s">
        <v>242</v>
      </c>
      <c r="C218">
        <v>3</v>
      </c>
      <c r="D218" s="4">
        <v>7.6612999999999998</v>
      </c>
      <c r="E218" s="3">
        <v>135433</v>
      </c>
    </row>
    <row r="219" spans="1:5" x14ac:dyDescent="0.25">
      <c r="A219" t="s">
        <v>237</v>
      </c>
      <c r="B219" t="s">
        <v>243</v>
      </c>
      <c r="C219">
        <v>2</v>
      </c>
      <c r="D219" s="4">
        <v>0.61499999999999999</v>
      </c>
      <c r="E219" s="3">
        <v>59221</v>
      </c>
    </row>
    <row r="220" spans="1:5" x14ac:dyDescent="0.25">
      <c r="A220" t="s">
        <v>237</v>
      </c>
      <c r="B220" t="s">
        <v>244</v>
      </c>
      <c r="C220">
        <v>2</v>
      </c>
      <c r="D220" s="4">
        <v>1.2919</v>
      </c>
      <c r="E220" s="3">
        <v>275677</v>
      </c>
    </row>
    <row r="221" spans="1:5" x14ac:dyDescent="0.25">
      <c r="A221" t="s">
        <v>237</v>
      </c>
      <c r="B221" t="s">
        <v>245</v>
      </c>
      <c r="C221">
        <v>2</v>
      </c>
      <c r="D221" s="4">
        <v>0.8458</v>
      </c>
      <c r="E221" s="3">
        <v>31743</v>
      </c>
    </row>
    <row r="222" spans="1:5" x14ac:dyDescent="0.25">
      <c r="A222" t="s">
        <v>237</v>
      </c>
      <c r="B222" t="s">
        <v>246</v>
      </c>
      <c r="C222">
        <v>46</v>
      </c>
      <c r="D222" s="4">
        <v>20.8338</v>
      </c>
      <c r="E222" s="3">
        <v>1830504</v>
      </c>
    </row>
    <row r="223" spans="1:5" x14ac:dyDescent="0.25">
      <c r="A223" t="s">
        <v>237</v>
      </c>
      <c r="B223" t="s">
        <v>247</v>
      </c>
      <c r="C223">
        <v>21</v>
      </c>
      <c r="D223" s="4">
        <v>10.213100000000001</v>
      </c>
      <c r="E223" s="3">
        <v>1827783</v>
      </c>
    </row>
    <row r="224" spans="1:5" x14ac:dyDescent="0.25">
      <c r="A224" t="s">
        <v>237</v>
      </c>
      <c r="B224" t="s">
        <v>248</v>
      </c>
      <c r="C224">
        <v>4</v>
      </c>
      <c r="D224" s="4">
        <v>1.1471</v>
      </c>
      <c r="E224" s="3">
        <v>462422</v>
      </c>
    </row>
    <row r="225" spans="1:5" x14ac:dyDescent="0.25">
      <c r="A225" t="s">
        <v>237</v>
      </c>
      <c r="B225" t="s">
        <v>249</v>
      </c>
      <c r="C225">
        <v>1</v>
      </c>
      <c r="D225" s="4">
        <v>0.19</v>
      </c>
      <c r="E225" s="3">
        <v>66613</v>
      </c>
    </row>
    <row r="226" spans="1:5" x14ac:dyDescent="0.25">
      <c r="A226" t="s">
        <v>237</v>
      </c>
      <c r="B226" t="s">
        <v>250</v>
      </c>
      <c r="C226">
        <v>4</v>
      </c>
      <c r="D226" s="4">
        <v>1.0330999999999999</v>
      </c>
      <c r="E226" s="3">
        <v>196423</v>
      </c>
    </row>
    <row r="227" spans="1:5" x14ac:dyDescent="0.25">
      <c r="A227" t="s">
        <v>237</v>
      </c>
      <c r="B227" t="s">
        <v>251</v>
      </c>
      <c r="C227">
        <v>14</v>
      </c>
      <c r="D227" s="4">
        <v>6.9653999999999998</v>
      </c>
      <c r="E227" s="3">
        <v>472241</v>
      </c>
    </row>
    <row r="228" spans="1:5" x14ac:dyDescent="0.25">
      <c r="A228" t="s">
        <v>237</v>
      </c>
      <c r="B228" t="s">
        <v>252</v>
      </c>
      <c r="C228">
        <v>49</v>
      </c>
      <c r="D228" s="4">
        <v>26.58</v>
      </c>
      <c r="E228" s="3">
        <v>2621358</v>
      </c>
    </row>
    <row r="229" spans="1:5" x14ac:dyDescent="0.25">
      <c r="A229" t="s">
        <v>237</v>
      </c>
      <c r="B229" t="s">
        <v>253</v>
      </c>
      <c r="C229">
        <v>18</v>
      </c>
      <c r="D229" s="4">
        <v>6.2377000000000002</v>
      </c>
      <c r="E229" s="3">
        <v>625015</v>
      </c>
    </row>
    <row r="230" spans="1:5" x14ac:dyDescent="0.25">
      <c r="A230" t="s">
        <v>237</v>
      </c>
      <c r="B230" t="s">
        <v>254</v>
      </c>
      <c r="C230">
        <v>3</v>
      </c>
      <c r="D230" s="4">
        <v>2.8393999999999999</v>
      </c>
      <c r="E230" s="3">
        <v>326684</v>
      </c>
    </row>
    <row r="231" spans="1:5" x14ac:dyDescent="0.25">
      <c r="A231" t="s">
        <v>237</v>
      </c>
      <c r="B231" t="s">
        <v>255</v>
      </c>
      <c r="C231">
        <v>7</v>
      </c>
      <c r="D231" s="4">
        <v>2.6776</v>
      </c>
      <c r="E231" s="3">
        <v>276185</v>
      </c>
    </row>
    <row r="232" spans="1:5" x14ac:dyDescent="0.25">
      <c r="A232" t="s">
        <v>237</v>
      </c>
      <c r="B232" t="s">
        <v>256</v>
      </c>
      <c r="C232">
        <v>10</v>
      </c>
      <c r="D232" s="4">
        <v>12.3393</v>
      </c>
      <c r="E232" s="3">
        <v>651435</v>
      </c>
    </row>
    <row r="233" spans="1:5" x14ac:dyDescent="0.25">
      <c r="A233" t="s">
        <v>237</v>
      </c>
      <c r="B233" t="s">
        <v>257</v>
      </c>
      <c r="C233">
        <v>4</v>
      </c>
      <c r="D233" s="4">
        <v>1.0548</v>
      </c>
      <c r="E233" s="3">
        <v>125115</v>
      </c>
    </row>
    <row r="234" spans="1:5" x14ac:dyDescent="0.25">
      <c r="A234" t="s">
        <v>237</v>
      </c>
      <c r="B234" t="s">
        <v>258</v>
      </c>
      <c r="C234">
        <v>5</v>
      </c>
      <c r="D234" s="4">
        <v>2.6614</v>
      </c>
      <c r="E234" s="3">
        <v>414849</v>
      </c>
    </row>
    <row r="235" spans="1:5" x14ac:dyDescent="0.25">
      <c r="A235" t="s">
        <v>237</v>
      </c>
      <c r="B235" t="s">
        <v>259</v>
      </c>
      <c r="C235">
        <v>11</v>
      </c>
      <c r="D235" s="4">
        <v>18.607500000000002</v>
      </c>
      <c r="E235" s="3">
        <v>1511235</v>
      </c>
    </row>
    <row r="236" spans="1:5" x14ac:dyDescent="0.25">
      <c r="A236" t="s">
        <v>237</v>
      </c>
      <c r="B236" t="s">
        <v>260</v>
      </c>
      <c r="C236">
        <v>1</v>
      </c>
      <c r="D236" s="4">
        <v>0.4637</v>
      </c>
      <c r="E236" s="3">
        <v>240000</v>
      </c>
    </row>
    <row r="237" spans="1:5" x14ac:dyDescent="0.25">
      <c r="A237" t="s">
        <v>237</v>
      </c>
      <c r="B237" t="s">
        <v>261</v>
      </c>
      <c r="C237">
        <v>21</v>
      </c>
      <c r="D237" s="4">
        <v>11.456099999999999</v>
      </c>
      <c r="E237" s="3">
        <v>976140</v>
      </c>
    </row>
    <row r="238" spans="1:5" x14ac:dyDescent="0.25">
      <c r="A238" t="s">
        <v>237</v>
      </c>
      <c r="B238" t="s">
        <v>262</v>
      </c>
      <c r="C238">
        <v>1</v>
      </c>
      <c r="D238" s="4">
        <v>0.21909999999999999</v>
      </c>
      <c r="E238" s="3">
        <v>37000</v>
      </c>
    </row>
    <row r="239" spans="1:5" x14ac:dyDescent="0.25">
      <c r="A239" t="s">
        <v>237</v>
      </c>
      <c r="B239" t="s">
        <v>263</v>
      </c>
      <c r="C239">
        <v>25</v>
      </c>
      <c r="D239" s="4">
        <v>7.7061000000000002</v>
      </c>
      <c r="E239" s="3">
        <v>1235000</v>
      </c>
    </row>
    <row r="240" spans="1:5" x14ac:dyDescent="0.25">
      <c r="A240" t="s">
        <v>237</v>
      </c>
      <c r="B240" t="s">
        <v>264</v>
      </c>
      <c r="C240">
        <v>1</v>
      </c>
      <c r="D240" s="4">
        <v>0.70950000000000002</v>
      </c>
      <c r="E240" s="3">
        <v>64639</v>
      </c>
    </row>
    <row r="241" spans="1:5" x14ac:dyDescent="0.25">
      <c r="A241" t="s">
        <v>237</v>
      </c>
      <c r="B241" t="s">
        <v>265</v>
      </c>
      <c r="C241">
        <v>3</v>
      </c>
      <c r="D241" s="4">
        <v>2.1084999999999998</v>
      </c>
      <c r="E241" s="3">
        <v>151186</v>
      </c>
    </row>
    <row r="242" spans="1:5" x14ac:dyDescent="0.25">
      <c r="A242" t="s">
        <v>237</v>
      </c>
      <c r="B242" t="s">
        <v>266</v>
      </c>
      <c r="C242">
        <v>4</v>
      </c>
      <c r="D242" s="4">
        <v>1.1940999999999999</v>
      </c>
      <c r="E242" s="3">
        <v>386206</v>
      </c>
    </row>
    <row r="243" spans="1:5" x14ac:dyDescent="0.25">
      <c r="C243">
        <f>SUM(C2:C242)</f>
        <v>3626</v>
      </c>
      <c r="D243" s="4">
        <f>SUM(D2:D242)</f>
        <v>2355.0347900999991</v>
      </c>
      <c r="E243" s="3">
        <f>SUM(E2:E242)</f>
        <v>314331224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110年原民鄉統補助計表</vt:lpstr>
      <vt:lpstr>110年灌區內外補助統計表</vt:lpstr>
      <vt:lpstr>110年鄉鎮統計表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2022-01-06T03:08:35Z</dcterms:created>
  <dcterms:modified xsi:type="dcterms:W3CDTF">2022-01-06T03:20:01Z</dcterms:modified>
</cp:coreProperties>
</file>